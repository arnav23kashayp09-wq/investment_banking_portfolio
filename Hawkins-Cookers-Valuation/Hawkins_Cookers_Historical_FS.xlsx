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c9bbaaaa2cf02d3/Desktop/Financial Modeling/Financial Modeling Projects/Hawkins Cooker Limited_Project_01/"/>
    </mc:Choice>
  </mc:AlternateContent>
  <xr:revisionPtr revIDLastSave="1479" documentId="13_ncr:1_{AADD80B0-D8DD-44FB-A7FC-1DD7673286A6}" xr6:coauthVersionLast="47" xr6:coauthVersionMax="47" xr10:uidLastSave="{5B53EC61-34C9-4F2A-A53F-FBE6F5A56F1C}"/>
  <bookViews>
    <workbookView xWindow="-108" yWindow="-108" windowWidth="23256" windowHeight="12456" firstSheet="1" activeTab="1" xr2:uid="{00000000-000D-0000-FFFF-FFFF00000000}"/>
  </bookViews>
  <sheets>
    <sheet name="Notes" sheetId="5" r:id="rId1"/>
    <sheet name="One Page Profile" sheetId="19" r:id="rId2"/>
    <sheet name="OPP Data" sheetId="20" r:id="rId3"/>
    <sheet name="HistoricalFS" sheetId="6" r:id="rId4"/>
    <sheet name="Ratio Analysis" sheetId="7" r:id="rId5"/>
    <sheet name="Forecasting" sheetId="8" r:id="rId6"/>
    <sheet name="WACC" sheetId="9" r:id="rId7"/>
    <sheet name="Common Size Statement" sheetId="14" r:id="rId8"/>
    <sheet name="Rm" sheetId="13" r:id="rId9"/>
    <sheet name="Beta - Regression" sheetId="10" r:id="rId10"/>
    <sheet name="Beta - Comps" sheetId="12" r:id="rId11"/>
    <sheet name="Intrinsic Growth" sheetId="15" r:id="rId12"/>
    <sheet name="DCF (FCFF)" sheetId="16" r:id="rId13"/>
    <sheet name="Comps " sheetId="17" r:id="rId14"/>
    <sheet name="Comps Val Datasheet" sheetId="18" r:id="rId15"/>
    <sheet name="Income Statement" sheetId="1" r:id="rId16"/>
    <sheet name="Balance Sheet" sheetId="2" r:id="rId17"/>
    <sheet name="Cash Flow" sheetId="3" r:id="rId18"/>
    <sheet name="Checks" sheetId="4" r:id="rId19"/>
  </sheets>
  <definedNames>
    <definedName name="_xlnm._FilterDatabase" localSheetId="16" hidden="1">'Balance Sheet'!$A$4:$G$53</definedName>
    <definedName name="_xlnm._FilterDatabase" localSheetId="9" hidden="1">'Beta - Regression'!$B$10:$D$10</definedName>
    <definedName name="_xlnm._FilterDatabase" localSheetId="17" hidden="1">'Cash Flow'!$A$4:$G$53</definedName>
    <definedName name="_xlnm._FilterDatabase" localSheetId="15" hidden="1">'Income Statement'!$A$3:$G$37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6" i="19" l="1"/>
  <c r="E26" i="19"/>
  <c r="F26" i="19"/>
  <c r="G26" i="19"/>
  <c r="C26" i="19"/>
  <c r="D25" i="19"/>
  <c r="E25" i="19"/>
  <c r="F25" i="19"/>
  <c r="G25" i="19"/>
  <c r="C25" i="19"/>
  <c r="D17" i="19"/>
  <c r="E17" i="19"/>
  <c r="F17" i="19"/>
  <c r="G17" i="19"/>
  <c r="C17" i="19"/>
  <c r="D16" i="19"/>
  <c r="E16" i="19"/>
  <c r="F16" i="19"/>
  <c r="G16" i="19"/>
  <c r="C16" i="19"/>
  <c r="D15" i="19"/>
  <c r="E15" i="19"/>
  <c r="F15" i="19"/>
  <c r="G15" i="19"/>
  <c r="C15" i="19"/>
  <c r="D14" i="19"/>
  <c r="E14" i="19"/>
  <c r="F14" i="19"/>
  <c r="G14" i="19"/>
  <c r="C14" i="19"/>
  <c r="D13" i="19"/>
  <c r="E13" i="19"/>
  <c r="F13" i="19"/>
  <c r="G13" i="19"/>
  <c r="C13" i="19"/>
  <c r="D12" i="19"/>
  <c r="E12" i="19"/>
  <c r="F12" i="19"/>
  <c r="G12" i="19"/>
  <c r="C12" i="19"/>
  <c r="D11" i="19"/>
  <c r="E11" i="19"/>
  <c r="F11" i="19"/>
  <c r="G11" i="19"/>
  <c r="C11" i="19"/>
  <c r="D10" i="19"/>
  <c r="E10" i="19"/>
  <c r="F10" i="19"/>
  <c r="G10" i="19"/>
  <c r="C10" i="19"/>
  <c r="D9" i="19"/>
  <c r="E9" i="19"/>
  <c r="F9" i="19"/>
  <c r="G9" i="19"/>
  <c r="C9" i="19"/>
  <c r="D8" i="19"/>
  <c r="E8" i="19"/>
  <c r="F8" i="19"/>
  <c r="G8" i="19"/>
  <c r="C8" i="19"/>
  <c r="C4" i="19"/>
  <c r="C17" i="17"/>
  <c r="C16" i="17"/>
  <c r="C15" i="17"/>
  <c r="C14" i="17"/>
  <c r="C13" i="17"/>
  <c r="C12" i="17"/>
  <c r="C11" i="17"/>
  <c r="O29" i="17"/>
  <c r="P29" i="17" s="1"/>
  <c r="Q29" i="17" s="1"/>
  <c r="M12" i="17"/>
  <c r="M13" i="17"/>
  <c r="M14" i="17"/>
  <c r="M15" i="17"/>
  <c r="M16" i="17"/>
  <c r="M17" i="17"/>
  <c r="M11" i="17"/>
  <c r="L12" i="17"/>
  <c r="L13" i="17"/>
  <c r="L14" i="17"/>
  <c r="L15" i="17"/>
  <c r="L16" i="17"/>
  <c r="L17" i="17"/>
  <c r="L11" i="17"/>
  <c r="K12" i="17"/>
  <c r="K13" i="17"/>
  <c r="K14" i="17"/>
  <c r="K15" i="17"/>
  <c r="K16" i="17"/>
  <c r="K17" i="17"/>
  <c r="K11" i="17"/>
  <c r="G12" i="17"/>
  <c r="G13" i="17"/>
  <c r="G14" i="17"/>
  <c r="G15" i="17"/>
  <c r="G16" i="17"/>
  <c r="G17" i="17"/>
  <c r="I4" i="18"/>
  <c r="I5" i="18"/>
  <c r="I6" i="18"/>
  <c r="I7" i="18"/>
  <c r="I8" i="18"/>
  <c r="I9" i="18"/>
  <c r="I3" i="18"/>
  <c r="G11" i="17"/>
  <c r="E12" i="17"/>
  <c r="O31" i="17" s="1"/>
  <c r="P31" i="17" s="1"/>
  <c r="Q31" i="17" s="1"/>
  <c r="E13" i="17"/>
  <c r="E14" i="17"/>
  <c r="E15" i="17"/>
  <c r="E16" i="17"/>
  <c r="E17" i="17"/>
  <c r="E11" i="17"/>
  <c r="D12" i="17"/>
  <c r="D13" i="17"/>
  <c r="D14" i="17"/>
  <c r="D15" i="17"/>
  <c r="D16" i="17"/>
  <c r="D17" i="17"/>
  <c r="D11" i="17"/>
  <c r="B12" i="17"/>
  <c r="B13" i="17"/>
  <c r="B14" i="17"/>
  <c r="B15" i="17"/>
  <c r="B16" i="17"/>
  <c r="B17" i="17"/>
  <c r="B11" i="17"/>
  <c r="M4" i="18"/>
  <c r="M5" i="18"/>
  <c r="M6" i="18"/>
  <c r="M7" i="18"/>
  <c r="M8" i="18"/>
  <c r="M9" i="18"/>
  <c r="M3" i="18"/>
  <c r="C39" i="16"/>
  <c r="C37" i="16"/>
  <c r="C36" i="16"/>
  <c r="C26" i="16"/>
  <c r="F13" i="16"/>
  <c r="C20" i="16"/>
  <c r="C25" i="16" s="1"/>
  <c r="C18" i="16"/>
  <c r="D11" i="16"/>
  <c r="E11" i="16" s="1"/>
  <c r="F11" i="16" s="1"/>
  <c r="G11" i="16" s="1"/>
  <c r="H11" i="16" s="1"/>
  <c r="I11" i="16" s="1"/>
  <c r="D8" i="16"/>
  <c r="E8" i="16" s="1"/>
  <c r="E6" i="16"/>
  <c r="F6" i="16" s="1"/>
  <c r="G6" i="16" s="1"/>
  <c r="H6" i="16" s="1"/>
  <c r="I6" i="16" s="1"/>
  <c r="K57" i="15"/>
  <c r="K56" i="15"/>
  <c r="K54" i="15"/>
  <c r="J54" i="15"/>
  <c r="I54" i="15"/>
  <c r="H54" i="15"/>
  <c r="G54" i="15"/>
  <c r="K52" i="15"/>
  <c r="J52" i="15"/>
  <c r="I52" i="15"/>
  <c r="H52" i="15"/>
  <c r="G52" i="15"/>
  <c r="K51" i="15"/>
  <c r="J51" i="15"/>
  <c r="I51" i="15"/>
  <c r="H51" i="15"/>
  <c r="G51" i="15"/>
  <c r="G38" i="15"/>
  <c r="H38" i="15"/>
  <c r="I38" i="15"/>
  <c r="J38" i="15"/>
  <c r="K38" i="15"/>
  <c r="F38" i="15"/>
  <c r="K29" i="15"/>
  <c r="K31" i="15" s="1"/>
  <c r="K40" i="15" s="1"/>
  <c r="J29" i="15"/>
  <c r="J31" i="15" s="1"/>
  <c r="J40" i="15" s="1"/>
  <c r="I29" i="15"/>
  <c r="I31" i="15" s="1"/>
  <c r="I40" i="15" s="1"/>
  <c r="H29" i="15"/>
  <c r="H31" i="15" s="1"/>
  <c r="H40" i="15" s="1"/>
  <c r="G29" i="15"/>
  <c r="G31" i="15" s="1"/>
  <c r="G40" i="15" s="1"/>
  <c r="F29" i="15"/>
  <c r="F31" i="15" s="1"/>
  <c r="F40" i="15" s="1"/>
  <c r="F26" i="15"/>
  <c r="G23" i="15"/>
  <c r="H23" i="15"/>
  <c r="I23" i="15"/>
  <c r="J23" i="15"/>
  <c r="K23" i="15"/>
  <c r="G24" i="15"/>
  <c r="H24" i="15"/>
  <c r="I24" i="15"/>
  <c r="J24" i="15"/>
  <c r="K24" i="15"/>
  <c r="G25" i="15"/>
  <c r="H25" i="15"/>
  <c r="I25" i="15"/>
  <c r="J25" i="15"/>
  <c r="K25" i="15"/>
  <c r="F24" i="15"/>
  <c r="F25" i="15"/>
  <c r="F23" i="15"/>
  <c r="G17" i="15"/>
  <c r="H17" i="15"/>
  <c r="I17" i="15"/>
  <c r="J17" i="15"/>
  <c r="K17" i="15"/>
  <c r="F17" i="15"/>
  <c r="G15" i="15"/>
  <c r="H15" i="15"/>
  <c r="I15" i="15"/>
  <c r="J15" i="15"/>
  <c r="K15" i="15"/>
  <c r="G16" i="15"/>
  <c r="H16" i="15"/>
  <c r="I16" i="15"/>
  <c r="J16" i="15"/>
  <c r="K16" i="15"/>
  <c r="F16" i="15"/>
  <c r="F15" i="15"/>
  <c r="F18" i="15" s="1"/>
  <c r="G11" i="15"/>
  <c r="H11" i="15"/>
  <c r="I11" i="15"/>
  <c r="J11" i="15"/>
  <c r="K11" i="15"/>
  <c r="F11" i="15"/>
  <c r="G10" i="15"/>
  <c r="G12" i="15" s="1"/>
  <c r="H10" i="15"/>
  <c r="H12" i="15" s="1"/>
  <c r="I10" i="15"/>
  <c r="I12" i="15" s="1"/>
  <c r="J10" i="15"/>
  <c r="K10" i="15"/>
  <c r="F10" i="15"/>
  <c r="G9" i="15"/>
  <c r="H9" i="15"/>
  <c r="I9" i="15"/>
  <c r="J9" i="15"/>
  <c r="K9" i="15"/>
  <c r="F9" i="15"/>
  <c r="B10" i="14"/>
  <c r="B12" i="14"/>
  <c r="B13" i="14"/>
  <c r="B15" i="14"/>
  <c r="B16" i="14"/>
  <c r="B17" i="14"/>
  <c r="B18" i="14"/>
  <c r="B19" i="14"/>
  <c r="B20" i="14"/>
  <c r="B21" i="14"/>
  <c r="B22" i="14"/>
  <c r="C12" i="14"/>
  <c r="C13" i="14"/>
  <c r="C14" i="14"/>
  <c r="C15" i="14"/>
  <c r="C16" i="14"/>
  <c r="C17" i="14"/>
  <c r="C18" i="14"/>
  <c r="C19" i="14"/>
  <c r="C20" i="14"/>
  <c r="C21" i="14"/>
  <c r="C22" i="14"/>
  <c r="C23" i="14"/>
  <c r="D12" i="14"/>
  <c r="E12" i="14"/>
  <c r="F12" i="14"/>
  <c r="G12" i="14"/>
  <c r="H12" i="14"/>
  <c r="D49" i="14"/>
  <c r="E49" i="14"/>
  <c r="F49" i="14"/>
  <c r="G49" i="14"/>
  <c r="H49" i="14"/>
  <c r="D50" i="14"/>
  <c r="E50" i="14"/>
  <c r="F50" i="14"/>
  <c r="G50" i="14"/>
  <c r="H50" i="14"/>
  <c r="D52" i="14"/>
  <c r="E52" i="14"/>
  <c r="F52" i="14"/>
  <c r="G52" i="14"/>
  <c r="H52" i="14"/>
  <c r="D53" i="14"/>
  <c r="E53" i="14"/>
  <c r="F53" i="14"/>
  <c r="G53" i="14"/>
  <c r="H53" i="14"/>
  <c r="D54" i="14"/>
  <c r="E54" i="14"/>
  <c r="F54" i="14"/>
  <c r="G54" i="14"/>
  <c r="H54" i="14"/>
  <c r="D55" i="14"/>
  <c r="E55" i="14"/>
  <c r="F55" i="14"/>
  <c r="G55" i="14"/>
  <c r="H55" i="14"/>
  <c r="D57" i="14"/>
  <c r="E57" i="14"/>
  <c r="F57" i="14"/>
  <c r="G57" i="14"/>
  <c r="H57" i="14"/>
  <c r="D58" i="14"/>
  <c r="E58" i="14"/>
  <c r="F58" i="14"/>
  <c r="G58" i="14"/>
  <c r="H58" i="14"/>
  <c r="D59" i="14"/>
  <c r="E59" i="14"/>
  <c r="F59" i="14"/>
  <c r="G59" i="14"/>
  <c r="H59" i="14"/>
  <c r="D60" i="14"/>
  <c r="E60" i="14"/>
  <c r="F60" i="14"/>
  <c r="G60" i="14"/>
  <c r="H60" i="14"/>
  <c r="D61" i="14"/>
  <c r="E61" i="14"/>
  <c r="F61" i="14"/>
  <c r="G61" i="14"/>
  <c r="H61" i="14"/>
  <c r="D62" i="14"/>
  <c r="E62" i="14"/>
  <c r="F62" i="14"/>
  <c r="G62" i="14"/>
  <c r="H62" i="14"/>
  <c r="D63" i="14"/>
  <c r="E63" i="14"/>
  <c r="F63" i="14"/>
  <c r="G63" i="14"/>
  <c r="H63" i="14"/>
  <c r="C50" i="14"/>
  <c r="C52" i="14"/>
  <c r="C53" i="14"/>
  <c r="C54" i="14"/>
  <c r="C55" i="14"/>
  <c r="C57" i="14"/>
  <c r="C58" i="14"/>
  <c r="C59" i="14"/>
  <c r="C60" i="14"/>
  <c r="C61" i="14"/>
  <c r="C62" i="14"/>
  <c r="C63" i="14"/>
  <c r="C49" i="14"/>
  <c r="H44" i="14"/>
  <c r="G44" i="14"/>
  <c r="F44" i="14"/>
  <c r="E44" i="14"/>
  <c r="D44" i="14"/>
  <c r="H43" i="14"/>
  <c r="G43" i="14"/>
  <c r="F43" i="14"/>
  <c r="E43" i="14"/>
  <c r="D43" i="14"/>
  <c r="H42" i="14"/>
  <c r="G42" i="14"/>
  <c r="F42" i="14"/>
  <c r="E42" i="14"/>
  <c r="D42" i="14"/>
  <c r="H41" i="14"/>
  <c r="G41" i="14"/>
  <c r="F41" i="14"/>
  <c r="E41" i="14"/>
  <c r="D41" i="14"/>
  <c r="H40" i="14"/>
  <c r="G40" i="14"/>
  <c r="F40" i="14"/>
  <c r="E40" i="14"/>
  <c r="D40" i="14"/>
  <c r="H39" i="14"/>
  <c r="G39" i="14"/>
  <c r="F39" i="14"/>
  <c r="E39" i="14"/>
  <c r="D39" i="14"/>
  <c r="H37" i="14"/>
  <c r="G37" i="14"/>
  <c r="F37" i="14"/>
  <c r="E37" i="14"/>
  <c r="D37" i="14"/>
  <c r="H36" i="14"/>
  <c r="G36" i="14"/>
  <c r="F36" i="14"/>
  <c r="E36" i="14"/>
  <c r="D36" i="14"/>
  <c r="H35" i="14"/>
  <c r="G35" i="14"/>
  <c r="F35" i="14"/>
  <c r="E35" i="14"/>
  <c r="D35" i="14"/>
  <c r="H34" i="14"/>
  <c r="G34" i="14"/>
  <c r="F34" i="14"/>
  <c r="E34" i="14"/>
  <c r="D34" i="14"/>
  <c r="H33" i="14"/>
  <c r="G33" i="14"/>
  <c r="F33" i="14"/>
  <c r="E33" i="14"/>
  <c r="D33" i="14"/>
  <c r="H32" i="14"/>
  <c r="G32" i="14"/>
  <c r="F32" i="14"/>
  <c r="E32" i="14"/>
  <c r="D32" i="14"/>
  <c r="H31" i="14"/>
  <c r="G31" i="14"/>
  <c r="F31" i="14"/>
  <c r="E31" i="14"/>
  <c r="D31" i="14"/>
  <c r="H30" i="14"/>
  <c r="G30" i="14"/>
  <c r="F30" i="14"/>
  <c r="E30" i="14"/>
  <c r="D30" i="14"/>
  <c r="C44" i="14"/>
  <c r="C43" i="14"/>
  <c r="C42" i="14"/>
  <c r="C41" i="14"/>
  <c r="C40" i="14"/>
  <c r="C39" i="14"/>
  <c r="C37" i="14"/>
  <c r="C36" i="14"/>
  <c r="C35" i="14"/>
  <c r="C34" i="14"/>
  <c r="C33" i="14"/>
  <c r="C32" i="14"/>
  <c r="C31" i="14"/>
  <c r="C30" i="14"/>
  <c r="D65" i="14"/>
  <c r="E65" i="14"/>
  <c r="F65" i="14"/>
  <c r="G65" i="14"/>
  <c r="H65" i="14"/>
  <c r="C65" i="14"/>
  <c r="D46" i="14"/>
  <c r="E46" i="14"/>
  <c r="F46" i="14"/>
  <c r="G46" i="14"/>
  <c r="H46" i="14"/>
  <c r="C46" i="14"/>
  <c r="B39" i="14"/>
  <c r="B50" i="14"/>
  <c r="B30" i="14"/>
  <c r="B31" i="14"/>
  <c r="B32" i="14"/>
  <c r="B33" i="14"/>
  <c r="B34" i="14"/>
  <c r="B35" i="14"/>
  <c r="B36" i="14"/>
  <c r="B37" i="14"/>
  <c r="B38" i="14"/>
  <c r="B40" i="14"/>
  <c r="B41" i="14"/>
  <c r="B42" i="14"/>
  <c r="B43" i="14"/>
  <c r="B44" i="14"/>
  <c r="B46" i="14"/>
  <c r="B48" i="14"/>
  <c r="B49" i="14"/>
  <c r="B51" i="14"/>
  <c r="B52" i="14"/>
  <c r="B53" i="14"/>
  <c r="B54" i="14"/>
  <c r="B55" i="14"/>
  <c r="B56" i="14"/>
  <c r="B57" i="14"/>
  <c r="B58" i="14"/>
  <c r="B59" i="14"/>
  <c r="B60" i="14"/>
  <c r="B61" i="14"/>
  <c r="B62" i="14"/>
  <c r="B63" i="14"/>
  <c r="B65" i="14"/>
  <c r="B29" i="14"/>
  <c r="H23" i="14"/>
  <c r="G23" i="14"/>
  <c r="F23" i="14"/>
  <c r="E23" i="14"/>
  <c r="D23" i="14"/>
  <c r="H22" i="14"/>
  <c r="G22" i="14"/>
  <c r="F22" i="14"/>
  <c r="E22" i="14"/>
  <c r="D22" i="14"/>
  <c r="H21" i="14"/>
  <c r="G21" i="14"/>
  <c r="F21" i="14"/>
  <c r="E21" i="14"/>
  <c r="D21" i="14"/>
  <c r="H20" i="14"/>
  <c r="G20" i="14"/>
  <c r="F20" i="14"/>
  <c r="E20" i="14"/>
  <c r="D20" i="14"/>
  <c r="H19" i="14"/>
  <c r="G19" i="14"/>
  <c r="F19" i="14"/>
  <c r="E19" i="14"/>
  <c r="D19" i="14"/>
  <c r="H18" i="14"/>
  <c r="G18" i="14"/>
  <c r="F18" i="14"/>
  <c r="E18" i="14"/>
  <c r="D18" i="14"/>
  <c r="H17" i="14"/>
  <c r="G17" i="14"/>
  <c r="F17" i="14"/>
  <c r="E17" i="14"/>
  <c r="D17" i="14"/>
  <c r="H16" i="14"/>
  <c r="G16" i="14"/>
  <c r="F16" i="14"/>
  <c r="E16" i="14"/>
  <c r="D16" i="14"/>
  <c r="H15" i="14"/>
  <c r="G15" i="14"/>
  <c r="F15" i="14"/>
  <c r="E15" i="14"/>
  <c r="D15" i="14"/>
  <c r="H14" i="14"/>
  <c r="G14" i="14"/>
  <c r="F14" i="14"/>
  <c r="E14" i="14"/>
  <c r="D14" i="14"/>
  <c r="H13" i="14"/>
  <c r="G13" i="14"/>
  <c r="F13" i="14"/>
  <c r="E13" i="14"/>
  <c r="D13" i="14"/>
  <c r="D11" i="14"/>
  <c r="E11" i="14"/>
  <c r="F11" i="14"/>
  <c r="G11" i="14"/>
  <c r="H11" i="14"/>
  <c r="C11" i="14"/>
  <c r="D10" i="14"/>
  <c r="E10" i="14"/>
  <c r="F10" i="14"/>
  <c r="G10" i="14"/>
  <c r="H10" i="14"/>
  <c r="C10" i="14"/>
  <c r="B11" i="14"/>
  <c r="D8" i="14"/>
  <c r="E8" i="14"/>
  <c r="F8" i="14"/>
  <c r="G8" i="14"/>
  <c r="H8" i="14"/>
  <c r="C8" i="14"/>
  <c r="E36" i="9"/>
  <c r="D36" i="9"/>
  <c r="F11" i="17" l="1"/>
  <c r="H11" i="17" s="1"/>
  <c r="F17" i="17"/>
  <c r="H17" i="17" s="1"/>
  <c r="F16" i="17"/>
  <c r="H16" i="17" s="1"/>
  <c r="F15" i="17"/>
  <c r="H15" i="17" s="1"/>
  <c r="F14" i="17"/>
  <c r="H14" i="17" s="1"/>
  <c r="F13" i="17"/>
  <c r="H13" i="17" s="1"/>
  <c r="F12" i="17"/>
  <c r="Q12" i="17" s="1"/>
  <c r="Q16" i="17"/>
  <c r="Q14" i="17"/>
  <c r="Q13" i="17"/>
  <c r="F14" i="16"/>
  <c r="E14" i="16"/>
  <c r="G13" i="16"/>
  <c r="F8" i="16"/>
  <c r="E10" i="16"/>
  <c r="E12" i="16" s="1"/>
  <c r="D10" i="16"/>
  <c r="D12" i="16" s="1"/>
  <c r="K12" i="15"/>
  <c r="J18" i="15"/>
  <c r="F12" i="15"/>
  <c r="K18" i="15"/>
  <c r="H26" i="15"/>
  <c r="J12" i="15"/>
  <c r="J20" i="15" s="1"/>
  <c r="J39" i="15" s="1"/>
  <c r="J42" i="15" s="1"/>
  <c r="J44" i="15" s="1"/>
  <c r="G26" i="15"/>
  <c r="K20" i="15"/>
  <c r="K39" i="15" s="1"/>
  <c r="K42" i="15" s="1"/>
  <c r="K44" i="15" s="1"/>
  <c r="F20" i="15"/>
  <c r="F28" i="15" s="1"/>
  <c r="F33" i="15" s="1"/>
  <c r="K26" i="15"/>
  <c r="K28" i="15" s="1"/>
  <c r="K33" i="15" s="1"/>
  <c r="H18" i="15"/>
  <c r="H20" i="15" s="1"/>
  <c r="J26" i="15"/>
  <c r="I18" i="15"/>
  <c r="I20" i="15" s="1"/>
  <c r="G18" i="15"/>
  <c r="G20" i="15" s="1"/>
  <c r="I26" i="15"/>
  <c r="G11" i="13"/>
  <c r="G13" i="13" s="1"/>
  <c r="G10" i="13"/>
  <c r="J46" i="9"/>
  <c r="D38" i="9"/>
  <c r="E38" i="9" s="1"/>
  <c r="D37" i="9"/>
  <c r="J28" i="9"/>
  <c r="D40" i="9"/>
  <c r="C37" i="9"/>
  <c r="C36" i="9"/>
  <c r="E27" i="9"/>
  <c r="J15" i="9"/>
  <c r="F13" i="13"/>
  <c r="F10" i="13"/>
  <c r="E28" i="9"/>
  <c r="F22" i="9"/>
  <c r="J37" i="9" s="1"/>
  <c r="F21" i="9"/>
  <c r="H18" i="9"/>
  <c r="G18" i="9"/>
  <c r="J18" i="9" s="1"/>
  <c r="E19" i="9"/>
  <c r="E17" i="9"/>
  <c r="E16" i="9"/>
  <c r="E15" i="9"/>
  <c r="D15" i="9"/>
  <c r="G15" i="9" s="1"/>
  <c r="D19" i="9"/>
  <c r="H19" i="9" s="1"/>
  <c r="D17" i="9"/>
  <c r="G17" i="9" s="1"/>
  <c r="J17" i="9" s="1"/>
  <c r="D16" i="9"/>
  <c r="J14" i="10"/>
  <c r="M13" i="10"/>
  <c r="J10" i="10" s="1"/>
  <c r="Q17" i="17" l="1"/>
  <c r="Q11" i="17"/>
  <c r="H12" i="17"/>
  <c r="Q15" i="17"/>
  <c r="Q21" i="17" s="1"/>
  <c r="P17" i="17"/>
  <c r="O17" i="17"/>
  <c r="P12" i="17"/>
  <c r="O12" i="17"/>
  <c r="P11" i="17"/>
  <c r="O11" i="17"/>
  <c r="P13" i="17"/>
  <c r="O13" i="17"/>
  <c r="P14" i="17"/>
  <c r="O14" i="17"/>
  <c r="P15" i="17"/>
  <c r="O15" i="17"/>
  <c r="P16" i="17"/>
  <c r="O16" i="17"/>
  <c r="E16" i="16"/>
  <c r="G14" i="16"/>
  <c r="H13" i="16"/>
  <c r="F10" i="16"/>
  <c r="F12" i="16" s="1"/>
  <c r="F16" i="16" s="1"/>
  <c r="G8" i="16"/>
  <c r="G10" i="16" s="1"/>
  <c r="G12" i="16" s="1"/>
  <c r="H28" i="15"/>
  <c r="H33" i="15" s="1"/>
  <c r="H39" i="15"/>
  <c r="H42" i="15" s="1"/>
  <c r="H44" i="15" s="1"/>
  <c r="G28" i="15"/>
  <c r="G33" i="15" s="1"/>
  <c r="G39" i="15"/>
  <c r="G42" i="15" s="1"/>
  <c r="G44" i="15" s="1"/>
  <c r="I39" i="15"/>
  <c r="I42" i="15" s="1"/>
  <c r="I44" i="15" s="1"/>
  <c r="J28" i="15"/>
  <c r="J33" i="15" s="1"/>
  <c r="I28" i="15"/>
  <c r="I33" i="15" s="1"/>
  <c r="I19" i="9"/>
  <c r="I21" i="9" s="1"/>
  <c r="E37" i="9"/>
  <c r="J43" i="9" s="1"/>
  <c r="E40" i="9"/>
  <c r="J36" i="9" s="1"/>
  <c r="J16" i="10"/>
  <c r="C38" i="9"/>
  <c r="E29" i="9"/>
  <c r="J45" i="9" s="1"/>
  <c r="H16" i="9"/>
  <c r="G19" i="9"/>
  <c r="H15" i="9"/>
  <c r="G16" i="9"/>
  <c r="J16" i="9" s="1"/>
  <c r="H17" i="9"/>
  <c r="G115" i="10"/>
  <c r="G114" i="10"/>
  <c r="G113" i="10"/>
  <c r="G112" i="10"/>
  <c r="G111" i="10"/>
  <c r="G110" i="10"/>
  <c r="G109" i="10"/>
  <c r="G108" i="10"/>
  <c r="G107" i="10"/>
  <c r="G106" i="10"/>
  <c r="G105" i="10"/>
  <c r="G104" i="10"/>
  <c r="G103" i="10"/>
  <c r="G102" i="10"/>
  <c r="G101" i="10"/>
  <c r="G100" i="10"/>
  <c r="G99" i="10"/>
  <c r="G98" i="10"/>
  <c r="G97" i="10"/>
  <c r="G96" i="10"/>
  <c r="G95" i="10"/>
  <c r="G94" i="10"/>
  <c r="G93" i="10"/>
  <c r="G92" i="10"/>
  <c r="G91" i="10"/>
  <c r="G90" i="10"/>
  <c r="G89" i="10"/>
  <c r="G88" i="10"/>
  <c r="G87" i="10"/>
  <c r="G86" i="10"/>
  <c r="G85" i="10"/>
  <c r="G84" i="10"/>
  <c r="G83" i="10"/>
  <c r="G82" i="10"/>
  <c r="G81" i="10"/>
  <c r="G80" i="10"/>
  <c r="G79" i="10"/>
  <c r="G78" i="10"/>
  <c r="G77" i="10"/>
  <c r="G76" i="10"/>
  <c r="G75" i="10"/>
  <c r="G74" i="10"/>
  <c r="G73" i="10"/>
  <c r="G72" i="10"/>
  <c r="G71" i="10"/>
  <c r="G70" i="10"/>
  <c r="G69" i="10"/>
  <c r="G68" i="10"/>
  <c r="G67" i="10"/>
  <c r="G66" i="10"/>
  <c r="G65" i="10"/>
  <c r="G64" i="10"/>
  <c r="G63" i="10"/>
  <c r="G62" i="10"/>
  <c r="G61" i="10"/>
  <c r="G60" i="10"/>
  <c r="G59" i="10"/>
  <c r="G58" i="10"/>
  <c r="G57" i="10"/>
  <c r="G56" i="10"/>
  <c r="G55" i="10"/>
  <c r="G54" i="10"/>
  <c r="G53" i="10"/>
  <c r="G52" i="10"/>
  <c r="G51" i="10"/>
  <c r="G50" i="10"/>
  <c r="G49" i="10"/>
  <c r="G48" i="10"/>
  <c r="G47" i="10"/>
  <c r="G46" i="10"/>
  <c r="G45" i="10"/>
  <c r="G44" i="10"/>
  <c r="G43" i="10"/>
  <c r="G42" i="10"/>
  <c r="G41" i="10"/>
  <c r="G40" i="10"/>
  <c r="G39" i="10"/>
  <c r="G38" i="10"/>
  <c r="G37" i="10"/>
  <c r="G36" i="10"/>
  <c r="G35" i="10"/>
  <c r="G34" i="10"/>
  <c r="G33" i="10"/>
  <c r="G32" i="10"/>
  <c r="G31" i="10"/>
  <c r="G30" i="10"/>
  <c r="G29" i="10"/>
  <c r="G28" i="10"/>
  <c r="G27" i="10"/>
  <c r="G26" i="10"/>
  <c r="G25" i="10"/>
  <c r="G24" i="10"/>
  <c r="G23" i="10"/>
  <c r="G22" i="10"/>
  <c r="G21" i="10"/>
  <c r="G20" i="10"/>
  <c r="G19" i="10"/>
  <c r="G18" i="10"/>
  <c r="G17" i="10"/>
  <c r="G16" i="10"/>
  <c r="G15" i="10"/>
  <c r="G14" i="10"/>
  <c r="G13" i="10"/>
  <c r="G12" i="10"/>
  <c r="D114" i="10"/>
  <c r="D113" i="10"/>
  <c r="D112" i="10"/>
  <c r="D111" i="10"/>
  <c r="D110" i="10"/>
  <c r="D109" i="10"/>
  <c r="D108" i="10"/>
  <c r="D107" i="10"/>
  <c r="D106" i="10"/>
  <c r="D105" i="10"/>
  <c r="D104" i="10"/>
  <c r="D103" i="10"/>
  <c r="D102" i="10"/>
  <c r="D101" i="10"/>
  <c r="D100" i="10"/>
  <c r="D99" i="10"/>
  <c r="D98" i="10"/>
  <c r="D97" i="10"/>
  <c r="D96" i="10"/>
  <c r="D95" i="10"/>
  <c r="D94" i="10"/>
  <c r="D93" i="10"/>
  <c r="D92" i="10"/>
  <c r="D91" i="10"/>
  <c r="D90" i="10"/>
  <c r="D89" i="10"/>
  <c r="D88" i="10"/>
  <c r="D87" i="10"/>
  <c r="D86" i="10"/>
  <c r="D85" i="10"/>
  <c r="D84" i="10"/>
  <c r="D83" i="10"/>
  <c r="D82" i="10"/>
  <c r="D81" i="10"/>
  <c r="D80" i="10"/>
  <c r="D79" i="10"/>
  <c r="D78" i="10"/>
  <c r="D77" i="10"/>
  <c r="D76" i="10"/>
  <c r="D75" i="10"/>
  <c r="D74" i="10"/>
  <c r="D73" i="10"/>
  <c r="D72" i="10"/>
  <c r="D71" i="10"/>
  <c r="D70" i="10"/>
  <c r="D69" i="10"/>
  <c r="D68" i="10"/>
  <c r="D67" i="10"/>
  <c r="D66" i="10"/>
  <c r="D65" i="10"/>
  <c r="D64" i="10"/>
  <c r="D63"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7" i="10"/>
  <c r="D36" i="10"/>
  <c r="D35" i="10"/>
  <c r="D34" i="10"/>
  <c r="D33" i="10"/>
  <c r="D32" i="10"/>
  <c r="D31" i="10"/>
  <c r="D30" i="10"/>
  <c r="D29" i="10"/>
  <c r="D28" i="10"/>
  <c r="D27" i="10"/>
  <c r="D26" i="10"/>
  <c r="D25" i="10"/>
  <c r="D24" i="10"/>
  <c r="D23" i="10"/>
  <c r="D22" i="10"/>
  <c r="D21" i="10"/>
  <c r="D20" i="10"/>
  <c r="D19" i="10"/>
  <c r="D18" i="10"/>
  <c r="D17" i="10"/>
  <c r="D16" i="10"/>
  <c r="D15" i="10"/>
  <c r="D14" i="10"/>
  <c r="D13" i="10"/>
  <c r="D115" i="10"/>
  <c r="D12" i="10"/>
  <c r="N9" i="8" a="1"/>
  <c r="N9" i="8" s="1"/>
  <c r="M10" i="8"/>
  <c r="M11" i="8" s="1"/>
  <c r="M12" i="8" s="1"/>
  <c r="M13" i="8" s="1"/>
  <c r="M14" i="8" s="1"/>
  <c r="M15" i="8" s="1"/>
  <c r="M16" i="8" s="1"/>
  <c r="M17" i="8" s="1"/>
  <c r="M18" i="8" s="1"/>
  <c r="M19" i="8" s="1"/>
  <c r="L10" i="8"/>
  <c r="L11" i="8" s="1"/>
  <c r="L12" i="8" s="1"/>
  <c r="L13" i="8" s="1"/>
  <c r="L14" i="8" s="1"/>
  <c r="L15" i="8" s="1"/>
  <c r="I9" i="8" a="1"/>
  <c r="I9" i="8" s="1"/>
  <c r="H10" i="8"/>
  <c r="H11" i="8" s="1"/>
  <c r="H12" i="8" s="1"/>
  <c r="H13" i="8" s="1"/>
  <c r="H14" i="8" s="1"/>
  <c r="H15" i="8" s="1"/>
  <c r="H16" i="8" s="1"/>
  <c r="H17" i="8" s="1"/>
  <c r="H18" i="8" s="1"/>
  <c r="H19" i="8" s="1"/>
  <c r="G10" i="8"/>
  <c r="G11" i="8" s="1"/>
  <c r="G12" i="8" s="1"/>
  <c r="G13" i="8" s="1"/>
  <c r="G14" i="8" s="1"/>
  <c r="G15" i="8" s="1"/>
  <c r="D9" i="8" a="1"/>
  <c r="D9" i="8" s="1"/>
  <c r="C10" i="8"/>
  <c r="C11" i="8" s="1"/>
  <c r="C12" i="8" s="1"/>
  <c r="C13" i="8" s="1"/>
  <c r="C14" i="8" s="1"/>
  <c r="C15" i="8" s="1"/>
  <c r="C16" i="8" s="1"/>
  <c r="C17" i="8" s="1"/>
  <c r="C18" i="8" s="1"/>
  <c r="C19" i="8" s="1"/>
  <c r="B10" i="8"/>
  <c r="B11" i="8" s="1"/>
  <c r="B12" i="8" s="1"/>
  <c r="B13" i="8" s="1"/>
  <c r="B14" i="8" s="1"/>
  <c r="B15" i="8" s="1"/>
  <c r="D42" i="6"/>
  <c r="E42" i="6"/>
  <c r="F42" i="6"/>
  <c r="G42" i="6"/>
  <c r="H42" i="6"/>
  <c r="H47" i="6"/>
  <c r="G47" i="6"/>
  <c r="C42" i="6"/>
  <c r="D7" i="6"/>
  <c r="E7" i="6" s="1"/>
  <c r="F7" i="6" s="1"/>
  <c r="G7" i="6" s="1"/>
  <c r="H7" i="6" s="1"/>
  <c r="C9" i="6"/>
  <c r="D9" i="6"/>
  <c r="E9" i="6"/>
  <c r="E10" i="6" s="1"/>
  <c r="F9" i="6"/>
  <c r="G9" i="6"/>
  <c r="H9" i="6"/>
  <c r="D7" i="7"/>
  <c r="E7" i="7" s="1"/>
  <c r="F7" i="7" s="1"/>
  <c r="G7" i="7" s="1"/>
  <c r="H7" i="7" s="1"/>
  <c r="H109" i="6"/>
  <c r="G109" i="6"/>
  <c r="F109" i="6"/>
  <c r="E109" i="6"/>
  <c r="D109" i="6"/>
  <c r="H108" i="6"/>
  <c r="G108" i="6"/>
  <c r="F108" i="6"/>
  <c r="E108" i="6"/>
  <c r="D108" i="6"/>
  <c r="C109" i="6"/>
  <c r="C108" i="6"/>
  <c r="H106" i="6"/>
  <c r="G106" i="6"/>
  <c r="F106" i="6"/>
  <c r="E106" i="6"/>
  <c r="D106" i="6"/>
  <c r="C106" i="6"/>
  <c r="H104" i="6"/>
  <c r="G104" i="6"/>
  <c r="F104" i="6"/>
  <c r="E104" i="6"/>
  <c r="D104" i="6"/>
  <c r="C104" i="6"/>
  <c r="H101" i="6"/>
  <c r="G101" i="6"/>
  <c r="F101" i="6"/>
  <c r="E101" i="6"/>
  <c r="D101" i="6"/>
  <c r="C101" i="6"/>
  <c r="H98" i="6"/>
  <c r="G98" i="6"/>
  <c r="F98" i="6"/>
  <c r="E98" i="6"/>
  <c r="D98" i="6"/>
  <c r="C98" i="6"/>
  <c r="H90" i="6"/>
  <c r="G90" i="6"/>
  <c r="F90" i="6"/>
  <c r="E90" i="6"/>
  <c r="D90" i="6"/>
  <c r="H89" i="6"/>
  <c r="G89" i="6"/>
  <c r="F89" i="6"/>
  <c r="E89" i="6"/>
  <c r="D89" i="6"/>
  <c r="H88" i="6"/>
  <c r="G88" i="6"/>
  <c r="F88" i="6"/>
  <c r="E88" i="6"/>
  <c r="D88" i="6"/>
  <c r="H87" i="6"/>
  <c r="G87" i="6"/>
  <c r="F87" i="6"/>
  <c r="E87" i="6"/>
  <c r="D87" i="6"/>
  <c r="H86" i="6"/>
  <c r="G86" i="6"/>
  <c r="F86" i="6"/>
  <c r="E86" i="6"/>
  <c r="D86" i="6"/>
  <c r="H85" i="6"/>
  <c r="G85" i="6"/>
  <c r="F85" i="6"/>
  <c r="E85" i="6"/>
  <c r="D85" i="6"/>
  <c r="H84" i="6"/>
  <c r="G84" i="6"/>
  <c r="F84" i="6"/>
  <c r="E84" i="6"/>
  <c r="D84" i="6"/>
  <c r="C86" i="6"/>
  <c r="C87" i="6"/>
  <c r="C88" i="6"/>
  <c r="C89" i="6"/>
  <c r="C90" i="6"/>
  <c r="C85" i="6"/>
  <c r="C84" i="6"/>
  <c r="H81" i="6"/>
  <c r="G81" i="6"/>
  <c r="F81" i="6"/>
  <c r="E81" i="6"/>
  <c r="D81" i="6"/>
  <c r="H80" i="6"/>
  <c r="G80" i="6"/>
  <c r="F80" i="6"/>
  <c r="E80" i="6"/>
  <c r="D80" i="6"/>
  <c r="H79" i="6"/>
  <c r="G79" i="6"/>
  <c r="F79" i="6"/>
  <c r="E79" i="6"/>
  <c r="D79" i="6"/>
  <c r="H78" i="6"/>
  <c r="G78" i="6"/>
  <c r="F78" i="6"/>
  <c r="E78" i="6"/>
  <c r="D78" i="6"/>
  <c r="C81" i="6"/>
  <c r="C80" i="6"/>
  <c r="C79" i="6"/>
  <c r="C78" i="6"/>
  <c r="H75" i="6"/>
  <c r="G75" i="6"/>
  <c r="F75" i="6"/>
  <c r="E75" i="6"/>
  <c r="D75" i="6"/>
  <c r="H74" i="6"/>
  <c r="G74" i="6"/>
  <c r="F74" i="6"/>
  <c r="E74" i="6"/>
  <c r="D74" i="6"/>
  <c r="C75" i="6"/>
  <c r="C74" i="6"/>
  <c r="H69" i="6"/>
  <c r="G69" i="6"/>
  <c r="F69" i="6"/>
  <c r="E69" i="6"/>
  <c r="D69" i="6"/>
  <c r="H68" i="6"/>
  <c r="G68" i="6"/>
  <c r="F68" i="6"/>
  <c r="E68" i="6"/>
  <c r="D68" i="6"/>
  <c r="H67" i="6"/>
  <c r="G67" i="6"/>
  <c r="F67" i="6"/>
  <c r="E67" i="6"/>
  <c r="D67" i="6"/>
  <c r="H66" i="6"/>
  <c r="G66" i="6"/>
  <c r="F66" i="6"/>
  <c r="E66" i="6"/>
  <c r="D66" i="6"/>
  <c r="H65" i="6"/>
  <c r="G65" i="6"/>
  <c r="F65" i="6"/>
  <c r="E65" i="6"/>
  <c r="D65" i="6"/>
  <c r="H64" i="6"/>
  <c r="G64" i="6"/>
  <c r="F64" i="6"/>
  <c r="E64" i="6"/>
  <c r="D64" i="6"/>
  <c r="C69" i="6"/>
  <c r="C68" i="6"/>
  <c r="C67" i="6"/>
  <c r="C66" i="6"/>
  <c r="C65" i="6"/>
  <c r="C64" i="6"/>
  <c r="H61" i="6"/>
  <c r="G61" i="6"/>
  <c r="F61" i="6"/>
  <c r="E61" i="6"/>
  <c r="D61" i="6"/>
  <c r="H60" i="6"/>
  <c r="G60" i="6"/>
  <c r="F60" i="6"/>
  <c r="E60" i="6"/>
  <c r="D60" i="6"/>
  <c r="H59" i="6"/>
  <c r="G59" i="6"/>
  <c r="F59" i="6"/>
  <c r="E59" i="6"/>
  <c r="D59" i="6"/>
  <c r="H58" i="6"/>
  <c r="G58" i="6"/>
  <c r="F58" i="6"/>
  <c r="E58" i="6"/>
  <c r="D58" i="6"/>
  <c r="H57" i="6"/>
  <c r="G57" i="6"/>
  <c r="F57" i="6"/>
  <c r="E57" i="6"/>
  <c r="D57" i="6"/>
  <c r="H56" i="6"/>
  <c r="G56" i="6"/>
  <c r="F56" i="6"/>
  <c r="E56" i="6"/>
  <c r="D56" i="6"/>
  <c r="H55" i="6"/>
  <c r="G55" i="6"/>
  <c r="F55" i="6"/>
  <c r="E55" i="6"/>
  <c r="D55" i="6"/>
  <c r="H54" i="6"/>
  <c r="G54" i="6"/>
  <c r="F54" i="6"/>
  <c r="E54" i="6"/>
  <c r="D54" i="6"/>
  <c r="C61" i="6"/>
  <c r="C60" i="6"/>
  <c r="C59" i="6"/>
  <c r="C58" i="6"/>
  <c r="C57" i="6"/>
  <c r="C56" i="6"/>
  <c r="C55" i="6"/>
  <c r="C54" i="6"/>
  <c r="F47" i="6"/>
  <c r="E47" i="6"/>
  <c r="F13" i="7" s="1"/>
  <c r="D47" i="6"/>
  <c r="C47" i="6"/>
  <c r="H30" i="6"/>
  <c r="G30" i="6"/>
  <c r="F30" i="6"/>
  <c r="E30" i="6"/>
  <c r="D30" i="6"/>
  <c r="C30" i="6"/>
  <c r="H36" i="6"/>
  <c r="G36" i="6"/>
  <c r="F36" i="6"/>
  <c r="E36" i="6"/>
  <c r="D36" i="6"/>
  <c r="C36" i="6"/>
  <c r="H27" i="6"/>
  <c r="G27" i="6"/>
  <c r="F27" i="6"/>
  <c r="E27" i="6"/>
  <c r="D27" i="6"/>
  <c r="C27" i="6"/>
  <c r="C24" i="6"/>
  <c r="H24" i="6"/>
  <c r="G24" i="6"/>
  <c r="F24" i="6"/>
  <c r="E24" i="6"/>
  <c r="D24" i="6"/>
  <c r="H18" i="6"/>
  <c r="G18" i="6"/>
  <c r="F18" i="6"/>
  <c r="E18" i="6"/>
  <c r="D18" i="6"/>
  <c r="C18" i="6"/>
  <c r="H12" i="6"/>
  <c r="G12" i="6"/>
  <c r="F12" i="6"/>
  <c r="E12" i="6"/>
  <c r="D12" i="6"/>
  <c r="C12" i="6"/>
  <c r="D6" i="4"/>
  <c r="E6" i="4"/>
  <c r="F6" i="4"/>
  <c r="G6" i="4"/>
  <c r="H6" i="4"/>
  <c r="C6" i="4"/>
  <c r="H5" i="4"/>
  <c r="G5" i="4"/>
  <c r="F5" i="4"/>
  <c r="E5" i="4"/>
  <c r="D5" i="4"/>
  <c r="C5" i="4"/>
  <c r="H9" i="4"/>
  <c r="G9" i="4"/>
  <c r="F9" i="4"/>
  <c r="E9" i="4"/>
  <c r="D9" i="4"/>
  <c r="C9" i="4"/>
  <c r="H8" i="4"/>
  <c r="G8" i="4"/>
  <c r="F8" i="4"/>
  <c r="E8" i="4"/>
  <c r="D8" i="4"/>
  <c r="C8" i="4"/>
  <c r="H7" i="4"/>
  <c r="G7" i="4"/>
  <c r="F7" i="4"/>
  <c r="E7" i="4"/>
  <c r="D7" i="4"/>
  <c r="C7" i="4"/>
  <c r="Q19" i="17" l="1"/>
  <c r="Q22" i="17"/>
  <c r="Q30" i="17" s="1"/>
  <c r="Q23" i="17"/>
  <c r="P23" i="17"/>
  <c r="Q20" i="17"/>
  <c r="Q24" i="17"/>
  <c r="O24" i="17"/>
  <c r="O20" i="17"/>
  <c r="O21" i="17"/>
  <c r="O22" i="17"/>
  <c r="O28" i="17" s="1"/>
  <c r="O30" i="17" s="1"/>
  <c r="O33" i="17" s="1"/>
  <c r="O34" i="17" s="1"/>
  <c r="O19" i="17"/>
  <c r="O23" i="17" s="1"/>
  <c r="P24" i="17"/>
  <c r="P20" i="17"/>
  <c r="P19" i="17"/>
  <c r="P22" i="17"/>
  <c r="P28" i="17" s="1"/>
  <c r="P30" i="17" s="1"/>
  <c r="P33" i="17" s="1"/>
  <c r="P34" i="17" s="1"/>
  <c r="P21" i="17"/>
  <c r="G16" i="16"/>
  <c r="I13" i="16"/>
  <c r="I14" i="16" s="1"/>
  <c r="H14" i="16"/>
  <c r="H8" i="16"/>
  <c r="K47" i="15"/>
  <c r="K46" i="15"/>
  <c r="I22" i="9"/>
  <c r="J19" i="9"/>
  <c r="J22" i="9" s="1"/>
  <c r="J35" i="9" s="1"/>
  <c r="J38" i="9" s="1"/>
  <c r="J29" i="9" s="1"/>
  <c r="J30" i="9" s="1"/>
  <c r="J42" i="9" s="1"/>
  <c r="J48" i="9" s="1"/>
  <c r="I13" i="8"/>
  <c r="D14" i="8"/>
  <c r="D13" i="8"/>
  <c r="D12" i="8"/>
  <c r="D11" i="8"/>
  <c r="N10" i="8"/>
  <c r="N11" i="8"/>
  <c r="N14" i="8"/>
  <c r="B16" i="8"/>
  <c r="N13" i="8"/>
  <c r="I14" i="8"/>
  <c r="J14" i="8" s="1"/>
  <c r="N12" i="8"/>
  <c r="J21" i="9"/>
  <c r="H22" i="9"/>
  <c r="H21" i="9"/>
  <c r="G21" i="9"/>
  <c r="G22" i="9"/>
  <c r="M10" i="10"/>
  <c r="M11" i="10"/>
  <c r="L16" i="8"/>
  <c r="I12" i="8"/>
  <c r="I11" i="8"/>
  <c r="I10" i="8"/>
  <c r="I15" i="8" s="1"/>
  <c r="J15" i="8" s="1"/>
  <c r="G16" i="8"/>
  <c r="D10" i="8"/>
  <c r="E10" i="8" s="1"/>
  <c r="H13" i="7"/>
  <c r="H10" i="6"/>
  <c r="H9" i="7" s="1"/>
  <c r="C34" i="7"/>
  <c r="F10" i="6"/>
  <c r="F9" i="7" s="1"/>
  <c r="H33" i="7"/>
  <c r="H39" i="7" s="1"/>
  <c r="G10" i="6"/>
  <c r="G9" i="7" s="1"/>
  <c r="D10" i="6"/>
  <c r="D9" i="7" s="1"/>
  <c r="E33" i="7"/>
  <c r="E39" i="7" s="1"/>
  <c r="G33" i="7"/>
  <c r="G39" i="7" s="1"/>
  <c r="H44" i="7"/>
  <c r="C21" i="7"/>
  <c r="C31" i="7"/>
  <c r="C37" i="7" s="1"/>
  <c r="C35" i="7"/>
  <c r="E31" i="7"/>
  <c r="E37" i="7" s="1"/>
  <c r="F34" i="7"/>
  <c r="G21" i="7"/>
  <c r="H32" i="7"/>
  <c r="H38" i="7" s="1"/>
  <c r="H35" i="7"/>
  <c r="H21" i="7"/>
  <c r="C33" i="7"/>
  <c r="C39" i="7" s="1"/>
  <c r="D33" i="7"/>
  <c r="D39" i="7" s="1"/>
  <c r="F33" i="7"/>
  <c r="F39" i="7" s="1"/>
  <c r="G13" i="7"/>
  <c r="C22" i="7"/>
  <c r="H22" i="7"/>
  <c r="D32" i="7"/>
  <c r="D38" i="7" s="1"/>
  <c r="C32" i="7"/>
  <c r="C38" i="7" s="1"/>
  <c r="E21" i="7"/>
  <c r="F32" i="7"/>
  <c r="F38" i="7" s="1"/>
  <c r="H111" i="6"/>
  <c r="E13" i="7"/>
  <c r="G32" i="7"/>
  <c r="G38" i="7" s="1"/>
  <c r="F21" i="7"/>
  <c r="E22" i="7"/>
  <c r="G31" i="7"/>
  <c r="G37" i="7" s="1"/>
  <c r="G22" i="7"/>
  <c r="D13" i="7"/>
  <c r="D42" i="7"/>
  <c r="E42" i="7"/>
  <c r="F44" i="7"/>
  <c r="G34" i="7"/>
  <c r="G44" i="7"/>
  <c r="H34" i="7"/>
  <c r="F42" i="7"/>
  <c r="G42" i="7"/>
  <c r="F22" i="7"/>
  <c r="D21" i="7"/>
  <c r="D22" i="7"/>
  <c r="E32" i="7"/>
  <c r="E38" i="7" s="1"/>
  <c r="H42" i="7"/>
  <c r="D35" i="7"/>
  <c r="G35" i="7"/>
  <c r="D31" i="7"/>
  <c r="D37" i="7" s="1"/>
  <c r="C42" i="7"/>
  <c r="F31" i="7"/>
  <c r="F37" i="7" s="1"/>
  <c r="D44" i="7"/>
  <c r="C44" i="7"/>
  <c r="H31" i="7"/>
  <c r="H37" i="7" s="1"/>
  <c r="E34" i="7"/>
  <c r="E35" i="7"/>
  <c r="F35" i="7"/>
  <c r="D34" i="7"/>
  <c r="E44" i="7"/>
  <c r="C111" i="6"/>
  <c r="E111" i="6"/>
  <c r="F111" i="6"/>
  <c r="D111" i="6"/>
  <c r="G111" i="6"/>
  <c r="H92" i="6"/>
  <c r="D92" i="6"/>
  <c r="E92" i="6"/>
  <c r="C92" i="6"/>
  <c r="F92" i="6"/>
  <c r="G92" i="6"/>
  <c r="F71" i="6"/>
  <c r="D71" i="6"/>
  <c r="D43" i="7" s="1"/>
  <c r="C71" i="6"/>
  <c r="C43" i="7" s="1"/>
  <c r="G71" i="6"/>
  <c r="G43" i="7" s="1"/>
  <c r="E71" i="6"/>
  <c r="E43" i="7" s="1"/>
  <c r="H71" i="6"/>
  <c r="H43" i="7" s="1"/>
  <c r="H19" i="6"/>
  <c r="H31" i="6"/>
  <c r="E9" i="7"/>
  <c r="F31" i="6"/>
  <c r="G31" i="6"/>
  <c r="D19" i="6"/>
  <c r="D31" i="6"/>
  <c r="C31" i="6"/>
  <c r="E31" i="6"/>
  <c r="F19" i="6"/>
  <c r="E19" i="6"/>
  <c r="D25" i="6"/>
  <c r="E25" i="6"/>
  <c r="H28" i="6"/>
  <c r="F25" i="6"/>
  <c r="F13" i="6"/>
  <c r="G13" i="6"/>
  <c r="G25" i="6"/>
  <c r="D28" i="6"/>
  <c r="E28" i="6"/>
  <c r="F28" i="6"/>
  <c r="G28" i="6"/>
  <c r="H15" i="6"/>
  <c r="H16" i="6" s="1"/>
  <c r="H15" i="7" s="1"/>
  <c r="H25" i="6"/>
  <c r="C28" i="6"/>
  <c r="C19" i="6"/>
  <c r="C25" i="6"/>
  <c r="G19" i="6"/>
  <c r="C13" i="6"/>
  <c r="D13" i="6"/>
  <c r="E13" i="6"/>
  <c r="H13" i="6"/>
  <c r="F15" i="6"/>
  <c r="C15" i="6"/>
  <c r="D15" i="6"/>
  <c r="E15" i="6"/>
  <c r="G15" i="6"/>
  <c r="Q33" i="17" l="1"/>
  <c r="Q34" i="17" s="1"/>
  <c r="Q28" i="17"/>
  <c r="I8" i="16"/>
  <c r="I10" i="16" s="1"/>
  <c r="I12" i="16" s="1"/>
  <c r="H10" i="16"/>
  <c r="H12" i="16" s="1"/>
  <c r="H16" i="16" s="1"/>
  <c r="O13" i="8"/>
  <c r="N15" i="8"/>
  <c r="O15" i="8" s="1"/>
  <c r="O14" i="8"/>
  <c r="O12" i="8"/>
  <c r="J10" i="8"/>
  <c r="I16" i="8"/>
  <c r="B17" i="8"/>
  <c r="D16" i="8"/>
  <c r="E12" i="8"/>
  <c r="E13" i="8"/>
  <c r="O10" i="8"/>
  <c r="E14" i="8"/>
  <c r="D15" i="8"/>
  <c r="E15" i="8" s="1"/>
  <c r="E11" i="8"/>
  <c r="J11" i="8"/>
  <c r="N16" i="8"/>
  <c r="O11" i="8"/>
  <c r="O16" i="8"/>
  <c r="L17" i="8"/>
  <c r="N17" i="8" s="1"/>
  <c r="J16" i="8"/>
  <c r="G17" i="8"/>
  <c r="I17" i="8" s="1"/>
  <c r="J12" i="8"/>
  <c r="J13" i="8"/>
  <c r="E40" i="7"/>
  <c r="J21" i="7"/>
  <c r="G40" i="7"/>
  <c r="J39" i="7"/>
  <c r="H40" i="7"/>
  <c r="K33" i="7"/>
  <c r="F40" i="7"/>
  <c r="D40" i="7"/>
  <c r="J33" i="7"/>
  <c r="K13" i="7"/>
  <c r="K39" i="7"/>
  <c r="J9" i="7"/>
  <c r="K32" i="7"/>
  <c r="J13" i="7"/>
  <c r="J34" i="7"/>
  <c r="K21" i="7"/>
  <c r="J32" i="7"/>
  <c r="K44" i="7"/>
  <c r="K9" i="7"/>
  <c r="K22" i="7"/>
  <c r="J22" i="7"/>
  <c r="J35" i="7"/>
  <c r="K31" i="7"/>
  <c r="K35" i="7"/>
  <c r="K34" i="7"/>
  <c r="K42" i="7"/>
  <c r="J44" i="7"/>
  <c r="J42" i="7"/>
  <c r="F94" i="6"/>
  <c r="F43" i="7"/>
  <c r="J43" i="7" s="1"/>
  <c r="J31" i="7"/>
  <c r="C40" i="7"/>
  <c r="J37" i="7"/>
  <c r="K37" i="7"/>
  <c r="J38" i="7"/>
  <c r="K38" i="7"/>
  <c r="D94" i="6"/>
  <c r="H94" i="6"/>
  <c r="E94" i="6"/>
  <c r="G94" i="6"/>
  <c r="C94" i="6"/>
  <c r="H21" i="6"/>
  <c r="E16" i="6"/>
  <c r="E15" i="7" s="1"/>
  <c r="E21" i="6"/>
  <c r="D16" i="6"/>
  <c r="D15" i="7" s="1"/>
  <c r="D21" i="6"/>
  <c r="C16" i="6"/>
  <c r="C15" i="7" s="1"/>
  <c r="C21" i="6"/>
  <c r="F16" i="6"/>
  <c r="F15" i="7" s="1"/>
  <c r="F21" i="6"/>
  <c r="G16" i="6"/>
  <c r="G15" i="7" s="1"/>
  <c r="G21" i="6"/>
  <c r="C24" i="16" l="1"/>
  <c r="C28" i="16" s="1"/>
  <c r="C33" i="16" s="1"/>
  <c r="I16" i="16"/>
  <c r="C32" i="16" s="1"/>
  <c r="D17" i="8"/>
  <c r="E17" i="8" s="1"/>
  <c r="B18" i="8"/>
  <c r="E16" i="8"/>
  <c r="L18" i="8"/>
  <c r="N18" i="8" s="1"/>
  <c r="O17" i="8"/>
  <c r="G18" i="8"/>
  <c r="I18" i="8" s="1"/>
  <c r="J17" i="8"/>
  <c r="K43" i="7"/>
  <c r="C33" i="6"/>
  <c r="C17" i="7"/>
  <c r="K15" i="7"/>
  <c r="J15" i="7"/>
  <c r="D33" i="6"/>
  <c r="D11" i="7"/>
  <c r="D10" i="7"/>
  <c r="D17" i="7"/>
  <c r="D23" i="7" s="1"/>
  <c r="E33" i="6"/>
  <c r="E17" i="7"/>
  <c r="E23" i="7" s="1"/>
  <c r="E11" i="7"/>
  <c r="E10" i="7"/>
  <c r="H33" i="6"/>
  <c r="H11" i="7"/>
  <c r="H10" i="7"/>
  <c r="H17" i="7"/>
  <c r="H23" i="7" s="1"/>
  <c r="G33" i="6"/>
  <c r="G10" i="7"/>
  <c r="G11" i="7"/>
  <c r="G17" i="7"/>
  <c r="G23" i="7" s="1"/>
  <c r="F33" i="6"/>
  <c r="F17" i="7"/>
  <c r="F23" i="7" s="1"/>
  <c r="F11" i="7"/>
  <c r="F10" i="7"/>
  <c r="K40" i="7"/>
  <c r="J40" i="7"/>
  <c r="H22" i="6"/>
  <c r="H16" i="7" s="1"/>
  <c r="F22" i="6"/>
  <c r="F16" i="7" s="1"/>
  <c r="G22" i="6"/>
  <c r="G16" i="7" s="1"/>
  <c r="C22" i="6"/>
  <c r="C16" i="7" s="1"/>
  <c r="D22" i="6"/>
  <c r="D16" i="7" s="1"/>
  <c r="E22" i="6"/>
  <c r="E16" i="7" s="1"/>
  <c r="C34" i="16" l="1"/>
  <c r="C38" i="16" s="1"/>
  <c r="C41" i="16" s="1"/>
  <c r="C43" i="16" s="1"/>
  <c r="B19" i="8"/>
  <c r="D19" i="8" s="1"/>
  <c r="D18" i="8"/>
  <c r="E18" i="8" s="1"/>
  <c r="L19" i="8"/>
  <c r="N19" i="8" s="1"/>
  <c r="O18" i="8"/>
  <c r="G19" i="8"/>
  <c r="I19" i="8" s="1"/>
  <c r="J18" i="8"/>
  <c r="H25" i="7"/>
  <c r="H29" i="7"/>
  <c r="K10" i="7"/>
  <c r="J10" i="7"/>
  <c r="C23" i="7"/>
  <c r="J17" i="7"/>
  <c r="K17" i="7"/>
  <c r="C29" i="7"/>
  <c r="C25" i="7"/>
  <c r="J16" i="7"/>
  <c r="K16" i="7"/>
  <c r="F29" i="7"/>
  <c r="F25" i="7"/>
  <c r="E29" i="7"/>
  <c r="E25" i="7"/>
  <c r="H37" i="6"/>
  <c r="J11" i="7"/>
  <c r="K11" i="7"/>
  <c r="H34" i="6"/>
  <c r="H18" i="7" s="1"/>
  <c r="G29" i="7"/>
  <c r="G25" i="7"/>
  <c r="D25" i="7"/>
  <c r="D29" i="7"/>
  <c r="H39" i="6"/>
  <c r="H44" i="6" s="1"/>
  <c r="D39" i="6"/>
  <c r="D34" i="6"/>
  <c r="D18" i="7" s="1"/>
  <c r="D37" i="6"/>
  <c r="C39" i="6"/>
  <c r="C27" i="7" s="1"/>
  <c r="C34" i="6"/>
  <c r="C18" i="7" s="1"/>
  <c r="C37" i="6"/>
  <c r="G34" i="6"/>
  <c r="G18" i="7" s="1"/>
  <c r="G39" i="6"/>
  <c r="G37" i="6"/>
  <c r="F39" i="6"/>
  <c r="F34" i="6"/>
  <c r="F18" i="7" s="1"/>
  <c r="F37" i="6"/>
  <c r="E39" i="6"/>
  <c r="E34" i="6"/>
  <c r="E18" i="7" s="1"/>
  <c r="E37" i="6"/>
  <c r="E19" i="8" l="1"/>
  <c r="O19" i="8"/>
  <c r="J19" i="8"/>
  <c r="H12" i="7"/>
  <c r="H27" i="7"/>
  <c r="G27" i="7"/>
  <c r="G12" i="7"/>
  <c r="J29" i="7"/>
  <c r="K29" i="7"/>
  <c r="K18" i="7"/>
  <c r="J18" i="7"/>
  <c r="E12" i="7"/>
  <c r="E27" i="7"/>
  <c r="D12" i="7"/>
  <c r="D27" i="7"/>
  <c r="F27" i="7"/>
  <c r="F12" i="7"/>
  <c r="J25" i="7"/>
  <c r="K25" i="7"/>
  <c r="J23" i="7"/>
  <c r="K23" i="7"/>
  <c r="H40" i="6"/>
  <c r="H19" i="7" s="1"/>
  <c r="G44" i="6"/>
  <c r="H45" i="6" s="1"/>
  <c r="G40" i="6"/>
  <c r="G19" i="7" s="1"/>
  <c r="F44" i="6"/>
  <c r="F40" i="6"/>
  <c r="F19" i="7" s="1"/>
  <c r="C44" i="6"/>
  <c r="C48" i="6" s="1"/>
  <c r="C50" i="6" s="1"/>
  <c r="C26" i="7" s="1"/>
  <c r="C28" i="7" s="1"/>
  <c r="C40" i="6"/>
  <c r="C19" i="7" s="1"/>
  <c r="E44" i="6"/>
  <c r="E40" i="6"/>
  <c r="E19" i="7" s="1"/>
  <c r="D44" i="6"/>
  <c r="D40" i="6"/>
  <c r="D19" i="7" s="1"/>
  <c r="H48" i="6"/>
  <c r="H50" i="6" s="1"/>
  <c r="H26" i="7" s="1"/>
  <c r="J27" i="7" l="1"/>
  <c r="K12" i="7"/>
  <c r="J12" i="7"/>
  <c r="K27" i="7"/>
  <c r="K19" i="7"/>
  <c r="J19" i="7"/>
  <c r="H28" i="7"/>
  <c r="E45" i="6"/>
  <c r="E48" i="6"/>
  <c r="E50" i="6" s="1"/>
  <c r="E26" i="7" s="1"/>
  <c r="E28" i="7" s="1"/>
  <c r="D45" i="6"/>
  <c r="D48" i="6"/>
  <c r="D50" i="6" s="1"/>
  <c r="D26" i="7" s="1"/>
  <c r="D28" i="7" s="1"/>
  <c r="F45" i="6"/>
  <c r="F48" i="6"/>
  <c r="F50" i="6" s="1"/>
  <c r="F26" i="7" s="1"/>
  <c r="G45" i="6"/>
  <c r="G48" i="6"/>
  <c r="G50" i="6" s="1"/>
  <c r="G26" i="7" s="1"/>
  <c r="G28" i="7" s="1"/>
  <c r="K26" i="7" l="1"/>
  <c r="J26" i="7"/>
  <c r="F28" i="7"/>
  <c r="J28" i="7" s="1"/>
  <c r="K28" i="7" l="1"/>
</calcChain>
</file>

<file path=xl/sharedStrings.xml><?xml version="1.0" encoding="utf-8"?>
<sst xmlns="http://schemas.openxmlformats.org/spreadsheetml/2006/main" count="616" uniqueCount="434">
  <si>
    <t>Hawkins Cookers Limited — Historical Income Statement</t>
  </si>
  <si>
    <t>Source: Hawkins Annual Reports 2021-22, 2023-24 and 2025-26 | Rs. Lakhs | Historical reported figures</t>
  </si>
  <si>
    <t>Particulars</t>
  </si>
  <si>
    <t>FY2021</t>
  </si>
  <si>
    <t>FY2022</t>
  </si>
  <si>
    <t>FY2023</t>
  </si>
  <si>
    <t>FY2024</t>
  </si>
  <si>
    <t>FY2025</t>
  </si>
  <si>
    <t>FY2026</t>
  </si>
  <si>
    <t>Income</t>
  </si>
  <si>
    <t>Revenue from operations (net)</t>
  </si>
  <si>
    <t>Other Income</t>
  </si>
  <si>
    <t>Total Income</t>
  </si>
  <si>
    <t>Expenses:</t>
  </si>
  <si>
    <t>Cost of materials consumed</t>
  </si>
  <si>
    <t>Purchases of Stock-in-Trade</t>
  </si>
  <si>
    <t>Changes in inventories of Finished Goods, Work-in-Progress and Stock-in-Trade</t>
  </si>
  <si>
    <t>Employee benefits expense</t>
  </si>
  <si>
    <t>Finance costs</t>
  </si>
  <si>
    <t>Depreciation and amortization expense</t>
  </si>
  <si>
    <t>Other expenses</t>
  </si>
  <si>
    <t>Total Expenses</t>
  </si>
  <si>
    <t>Profit before tax</t>
  </si>
  <si>
    <t>Tax expense:</t>
  </si>
  <si>
    <t>Current tax</t>
  </si>
  <si>
    <t>Deferred tax</t>
  </si>
  <si>
    <t>Profit for the year (A)</t>
  </si>
  <si>
    <t>Other Comprehensive Income</t>
  </si>
  <si>
    <t>Items that will not be reclassified to Profit or Loss</t>
  </si>
  <si>
    <t>Actuarial Loss/(Gain) on Defined Benefit Plans</t>
  </si>
  <si>
    <t>Tax Effect on the above</t>
  </si>
  <si>
    <t>Items that will be reclassified to Profit or Loss</t>
  </si>
  <si>
    <t>Total Other Comprehensive Income for the year (B)</t>
  </si>
  <si>
    <t>Total Comprehensive Income for the year (A+B)</t>
  </si>
  <si>
    <t>Earnings Per Share</t>
  </si>
  <si>
    <t>Basic and Diluted (Rs.)</t>
  </si>
  <si>
    <t>Hawkins Cookers Limited — Historical Balance Sheet</t>
  </si>
  <si>
    <t>ASSETS</t>
  </si>
  <si>
    <t>NON-CURRENT ASSETS</t>
  </si>
  <si>
    <t>Property, Plant and Equipment</t>
  </si>
  <si>
    <t>Capital Work-in-Progress</t>
  </si>
  <si>
    <t>Intangible assets</t>
  </si>
  <si>
    <t>Financial Assets</t>
  </si>
  <si>
    <t>Investments</t>
  </si>
  <si>
    <t>Other non-current financial assets</t>
  </si>
  <si>
    <t>Non-current tax assets (net)</t>
  </si>
  <si>
    <t>Deferred tax assets (net)</t>
  </si>
  <si>
    <t>Other non-current assets</t>
  </si>
  <si>
    <t>Total Non-current Assets</t>
  </si>
  <si>
    <t>CURRENT ASSETS</t>
  </si>
  <si>
    <t>Inventories</t>
  </si>
  <si>
    <t>Trade receivables</t>
  </si>
  <si>
    <t>Cash and cash equivalents</t>
  </si>
  <si>
    <t>Bank balances other than above</t>
  </si>
  <si>
    <t>Other current financial assets</t>
  </si>
  <si>
    <t>Other current assets</t>
  </si>
  <si>
    <t>Total Current Assets</t>
  </si>
  <si>
    <t>TOTAL ASSETS</t>
  </si>
  <si>
    <t>EQUITY AND LIABILITIES</t>
  </si>
  <si>
    <t>EQUITY</t>
  </si>
  <si>
    <t>Equity Share Capital</t>
  </si>
  <si>
    <t>Other Equity</t>
  </si>
  <si>
    <t>Total Equity</t>
  </si>
  <si>
    <t>LIABILITIES</t>
  </si>
  <si>
    <t>NON-CURRENT LIABILITIES</t>
  </si>
  <si>
    <t>Financial Liabilities</t>
  </si>
  <si>
    <t>Borrowings</t>
  </si>
  <si>
    <t>Other non-current financial liabilities</t>
  </si>
  <si>
    <t>Provisions</t>
  </si>
  <si>
    <t>Deferred tax liabilities (net)</t>
  </si>
  <si>
    <t>Total Non-current Liabilities</t>
  </si>
  <si>
    <t>CURRENT LIABILITIES</t>
  </si>
  <si>
    <t>Trade payables - To micro &amp; small enterprises</t>
  </si>
  <si>
    <t>Trade payables - To other than micro &amp; small enterprises</t>
  </si>
  <si>
    <t>Other current financial liabilities</t>
  </si>
  <si>
    <t>Other current liabilities</t>
  </si>
  <si>
    <t>Current Tax Liabilities (net)</t>
  </si>
  <si>
    <t>Total Current Liabilities</t>
  </si>
  <si>
    <t>TOTAL EQUITY AND LIABILITIES</t>
  </si>
  <si>
    <t>Hawkins Cookers Limited — Historical Cash Flow Statement</t>
  </si>
  <si>
    <t>A. Cash Flow from Operating Activities</t>
  </si>
  <si>
    <t>Adjustments for:</t>
  </si>
  <si>
    <t>Profit/(Loss) on sale of property, plant and equipment (net)</t>
  </si>
  <si>
    <t>Interest income</t>
  </si>
  <si>
    <t>Dividend income</t>
  </si>
  <si>
    <t>Operating profit before working capital changes</t>
  </si>
  <si>
    <t>Changes in working capital</t>
  </si>
  <si>
    <t>Adjustments for — increase/decrease in operating assets</t>
  </si>
  <si>
    <t>Adjustments for increase/decrease in operating liabilities</t>
  </si>
  <si>
    <t>Trade payables</t>
  </si>
  <si>
    <t>Non-current provision</t>
  </si>
  <si>
    <t>Current provision</t>
  </si>
  <si>
    <t>Cash generated from operations</t>
  </si>
  <si>
    <t>Income taxes paid (net)</t>
  </si>
  <si>
    <t>Net Cash from/—used in Operating Activities</t>
  </si>
  <si>
    <t>B. Cash Flow from Investing Activities</t>
  </si>
  <si>
    <t>Purchase of property, plant and equipment (including capital advances and CWIP)</t>
  </si>
  <si>
    <t>Sale of property, plant and equipment</t>
  </si>
  <si>
    <t>Decrease/—Increase in fixed deposits with banks</t>
  </si>
  <si>
    <t>Interest received</t>
  </si>
  <si>
    <t>Dividend received</t>
  </si>
  <si>
    <t>Net Cash from/—used in Investing Activities</t>
  </si>
  <si>
    <t>C. Cash Flow from Financing Activities</t>
  </si>
  <si>
    <t>Finance costs paid</t>
  </si>
  <si>
    <t>Dividend paid</t>
  </si>
  <si>
    <t>Proceeds from fixed deposits</t>
  </si>
  <si>
    <t>Repayment of fixed deposits</t>
  </si>
  <si>
    <t>Net Cash used in Financing Activities</t>
  </si>
  <si>
    <t>Net Increase/—Decrease in Cash and Cash Equivalents A+B+C</t>
  </si>
  <si>
    <t>Cash and cash equivalents at the commencement of the year</t>
  </si>
  <si>
    <t>Cash and cash equivalents as at the end of the year</t>
  </si>
  <si>
    <t>Net Increase/—Decrease in Cash and Cash Equivalents E-D</t>
  </si>
  <si>
    <t>Hawkins Cookers Limited — Historical Financial Statement Checks</t>
  </si>
  <si>
    <t>Formula-driven integrity checks | Historical data in Rs. Lakhs</t>
  </si>
  <si>
    <t>Check</t>
  </si>
  <si>
    <t>Balance Sheet: Total Assets - Total Equity &amp; Liabilities</t>
  </si>
  <si>
    <t>Income Statement: Total Income - Total Expenses - Profit Before Tax</t>
  </si>
  <si>
    <t>Income Statement: PBT - Tax Expense - Profit for the Year</t>
  </si>
  <si>
    <t>Cash Flow: CFO + CFI + CFF - Net Change</t>
  </si>
  <si>
    <t>Cash Flow: Opening Cash + Net Change - Closing Cash</t>
  </si>
  <si>
    <t>Source &amp; Modeling Notes</t>
  </si>
  <si>
    <t>Company</t>
  </si>
  <si>
    <t>Hawkins Cookers Limited</t>
  </si>
  <si>
    <t>Reporting periods</t>
  </si>
  <si>
    <t>FY2021 through FY2026</t>
  </si>
  <si>
    <t>Scope</t>
  </si>
  <si>
    <t>Standalone financial statements</t>
  </si>
  <si>
    <t>Units</t>
  </si>
  <si>
    <t>Rs. Lakhs, as reported in Hawkins annual reports</t>
  </si>
  <si>
    <t>Historical data</t>
  </si>
  <si>
    <t>Hardcoded reported historical figures; no forecasts.</t>
  </si>
  <si>
    <t>FY2021-FY2022 source</t>
  </si>
  <si>
    <t>Hawkins Annual Report 2021-22, Balance Sheet p.38, Profit &amp; Loss p.39, Cash Flow p.41.</t>
  </si>
  <si>
    <t>FY2023-FY2024 source</t>
  </si>
  <si>
    <t>Hawkins Annual Report 2023-24, Balance Sheet p.50, Profit &amp; Loss p.51, Cash Flow p.53.</t>
  </si>
  <si>
    <t>FY2025-FY2026 source</t>
  </si>
  <si>
    <t>Hawkins Annual Report 2025-26, Balance Sheet p.30, Profit &amp; Loss p.31, Cash Flow p.33.</t>
  </si>
  <si>
    <t>Nil treatment</t>
  </si>
  <si>
    <t>Explicit NIL figures are represented as numeric 0.00 where required for model usability. Blank cells are not used to fabricate values.</t>
  </si>
  <si>
    <t>Formatting</t>
  </si>
  <si>
    <t>M&amp;M Income Statement formatting is used as the visual master: colours, borders/lines, fonts, text hierarchy, spacing and number presentation.</t>
  </si>
  <si>
    <t>Purpose</t>
  </si>
  <si>
    <t>Historical financial statement database suitable for ratio analysis, assumptions/drivers and three-statement financial modelling.</t>
  </si>
  <si>
    <t>check</t>
  </si>
  <si>
    <t>Values in Lakhs</t>
  </si>
  <si>
    <t>#</t>
  </si>
  <si>
    <t>Years</t>
  </si>
  <si>
    <t xml:space="preserve">Revenue from operations </t>
  </si>
  <si>
    <t>Revenue Growth %</t>
  </si>
  <si>
    <t>Cost of Goods Sold</t>
  </si>
  <si>
    <t>Gross Profit</t>
  </si>
  <si>
    <t>Gross Profit Margin %</t>
  </si>
  <si>
    <t>Selling &amp; General Expenses</t>
  </si>
  <si>
    <t xml:space="preserve">EBITDA </t>
  </si>
  <si>
    <t>EBITDA Margin</t>
  </si>
  <si>
    <t xml:space="preserve">Depreciation and Amortization </t>
  </si>
  <si>
    <t>D&amp;A % Revenue</t>
  </si>
  <si>
    <t>Finance costs % Revenue</t>
  </si>
  <si>
    <t>SG&amp;A % Revenue</t>
  </si>
  <si>
    <t>COGS % Revenue</t>
  </si>
  <si>
    <t xml:space="preserve">EBT Margins </t>
  </si>
  <si>
    <t>Tax</t>
  </si>
  <si>
    <t>Effective Tax Rate</t>
  </si>
  <si>
    <t>Earnings before Tax (EBT)</t>
  </si>
  <si>
    <t>Other Income % Revenue</t>
  </si>
  <si>
    <t xml:space="preserve">Net Profit </t>
  </si>
  <si>
    <t>Net Margins</t>
  </si>
  <si>
    <t>No. of Equity Shares (in lakhs)</t>
  </si>
  <si>
    <t>EPS Growth</t>
  </si>
  <si>
    <t>Dividend Per Share</t>
  </si>
  <si>
    <t>Dividend Payout Ratio</t>
  </si>
  <si>
    <t>Retained Earnings</t>
  </si>
  <si>
    <t xml:space="preserve">Income Statement </t>
  </si>
  <si>
    <t>(Values in Rs. Lakhs)</t>
  </si>
  <si>
    <t>Historical annual report data sheets (Do Not Change value) but can add Years and values from new Reports</t>
  </si>
  <si>
    <t>Financial Modeling Sheets (Analysis) - Depended on DATA SHEETS</t>
  </si>
  <si>
    <t>DATA SHEETS</t>
  </si>
  <si>
    <t>MODELS</t>
  </si>
  <si>
    <t xml:space="preserve">Balance Sheet </t>
  </si>
  <si>
    <t>Cash Flow Statement</t>
  </si>
  <si>
    <t>Operating Activites</t>
  </si>
  <si>
    <t>Investing Activities</t>
  </si>
  <si>
    <t>Financing Activities</t>
  </si>
  <si>
    <t>Cash at beginning of year</t>
  </si>
  <si>
    <t>Cash at end of year</t>
  </si>
  <si>
    <t xml:space="preserve">Net Increase/(Decrease) in Cash and Cash Equivalents </t>
  </si>
  <si>
    <t>Net Cash from/(used) in Investing Activities</t>
  </si>
  <si>
    <t>Net Cash from/(used) in Operating Activities</t>
  </si>
  <si>
    <t>Dividend Growth</t>
  </si>
  <si>
    <t xml:space="preserve">EBITDA Growth </t>
  </si>
  <si>
    <t xml:space="preserve">EBIT Growth </t>
  </si>
  <si>
    <t xml:space="preserve">Net Profit Growth </t>
  </si>
  <si>
    <t>Gross Margin</t>
  </si>
  <si>
    <t>EBIT Margin</t>
  </si>
  <si>
    <t>EBT Margin</t>
  </si>
  <si>
    <t>Net Profit Margin</t>
  </si>
  <si>
    <t>Trend</t>
  </si>
  <si>
    <t>Mean</t>
  </si>
  <si>
    <t>Median</t>
  </si>
  <si>
    <t>Depreciation % Revenue</t>
  </si>
  <si>
    <t>Sales Expense % Revenue</t>
  </si>
  <si>
    <t xml:space="preserve">Revenue Growth </t>
  </si>
  <si>
    <t>Operating Income % Revenue</t>
  </si>
  <si>
    <t>Return on Capital Employed (ROCE)</t>
  </si>
  <si>
    <t>Retained Earnings %</t>
  </si>
  <si>
    <t>Return on Equity (ROE)</t>
  </si>
  <si>
    <t>Self Sustained Growth Rate</t>
  </si>
  <si>
    <t>Interest Coverage Ratio</t>
  </si>
  <si>
    <t>Debtor Turnover Ratio</t>
  </si>
  <si>
    <t>Creditor Turnover Ratio</t>
  </si>
  <si>
    <t>Inventory Turnover Ratio</t>
  </si>
  <si>
    <t>Fixed Asset Turnover Ratio</t>
  </si>
  <si>
    <t>Capital Turnover Ratio</t>
  </si>
  <si>
    <t>Debtor Days</t>
  </si>
  <si>
    <t>Payable Days</t>
  </si>
  <si>
    <t>Inventory Days</t>
  </si>
  <si>
    <t>Cash Conversion Cycle (days)</t>
  </si>
  <si>
    <t>CFO/Sales</t>
  </si>
  <si>
    <t>CFO/Total Assets</t>
  </si>
  <si>
    <t>CFO/Total Debt</t>
  </si>
  <si>
    <t xml:space="preserve">(Values in Rs. Lakhs) </t>
  </si>
  <si>
    <t xml:space="preserve">                   Hawkins Cookers Limited </t>
  </si>
  <si>
    <t xml:space="preserve">Ratio Analysis - Hawkins Cookers Limited </t>
  </si>
  <si>
    <t xml:space="preserve">Historical Financials - Hawkins Cookers Limited </t>
  </si>
  <si>
    <t>Year Weight</t>
  </si>
  <si>
    <t>Year</t>
  </si>
  <si>
    <t>Hawkins Cookers Limited - Revenue Forecasting</t>
  </si>
  <si>
    <t>Revenue</t>
  </si>
  <si>
    <t>Growth</t>
  </si>
  <si>
    <t>EBITDA</t>
  </si>
  <si>
    <t>Hawkins Cookers Limited - EBITDA Forecasting</t>
  </si>
  <si>
    <t>Net Profit</t>
  </si>
  <si>
    <t>Hawkins Cookers Limited - Net Profit Forecasting</t>
  </si>
  <si>
    <t>Weighted Average Cost of Capital</t>
  </si>
  <si>
    <t>Country</t>
  </si>
  <si>
    <t>Total Debt</t>
  </si>
  <si>
    <t xml:space="preserve">Total Equity </t>
  </si>
  <si>
    <t>Tax Rate</t>
  </si>
  <si>
    <r>
      <t xml:space="preserve">Tax Rate </t>
    </r>
    <r>
      <rPr>
        <vertAlign val="superscript"/>
        <sz val="11"/>
        <color theme="1"/>
        <rFont val="Calibri"/>
        <family val="2"/>
        <scheme val="minor"/>
      </rPr>
      <t>1</t>
    </r>
  </si>
  <si>
    <t>Debt / Equity</t>
  </si>
  <si>
    <t>Debt /</t>
  </si>
  <si>
    <t>Equity</t>
  </si>
  <si>
    <t>Capital</t>
  </si>
  <si>
    <t xml:space="preserve">Levered </t>
  </si>
  <si>
    <t>Unlevered</t>
  </si>
  <si>
    <r>
      <t xml:space="preserve">Beta </t>
    </r>
    <r>
      <rPr>
        <vertAlign val="superscript"/>
        <sz val="11"/>
        <color theme="1"/>
        <rFont val="Calibri"/>
        <family val="2"/>
        <scheme val="minor"/>
      </rPr>
      <t>2</t>
    </r>
  </si>
  <si>
    <r>
      <t xml:space="preserve">Beta </t>
    </r>
    <r>
      <rPr>
        <vertAlign val="superscript"/>
        <sz val="11"/>
        <color theme="1"/>
        <rFont val="Calibri"/>
        <family val="2"/>
        <scheme val="minor"/>
      </rPr>
      <t>3</t>
    </r>
  </si>
  <si>
    <t>All figures are in INR unless stated otherwise.</t>
  </si>
  <si>
    <t>Peer Companies</t>
  </si>
  <si>
    <t>Name</t>
  </si>
  <si>
    <t>Cello World</t>
  </si>
  <si>
    <t>Borosil</t>
  </si>
  <si>
    <t>All Time Plastic</t>
  </si>
  <si>
    <t>Clay Craft India</t>
  </si>
  <si>
    <t>India</t>
  </si>
  <si>
    <t>Cost of Debt</t>
  </si>
  <si>
    <t>Pre-tax Cost of Debt</t>
  </si>
  <si>
    <t>After Tax Cost of Debt</t>
  </si>
  <si>
    <t>Cost of Equity</t>
  </si>
  <si>
    <t>Risk Free Rate</t>
  </si>
  <si>
    <t>Equity Risk Premium</t>
  </si>
  <si>
    <r>
      <t xml:space="preserve">Levered Beta </t>
    </r>
    <r>
      <rPr>
        <vertAlign val="superscript"/>
        <sz val="11"/>
        <color theme="1"/>
        <rFont val="Calibri"/>
        <family val="2"/>
        <scheme val="minor"/>
      </rPr>
      <t>4</t>
    </r>
  </si>
  <si>
    <t>Capital Structure</t>
  </si>
  <si>
    <t>Market Capitalization</t>
  </si>
  <si>
    <t>Total Capitalization</t>
  </si>
  <si>
    <t>Current</t>
  </si>
  <si>
    <t>Target</t>
  </si>
  <si>
    <t>Levered Beta</t>
  </si>
  <si>
    <t>Comps Median Unlevered Beta</t>
  </si>
  <si>
    <t>Target Debt/Equity</t>
  </si>
  <si>
    <t>1. Tax Rate considered as Marginal Tax Rate for the Country</t>
  </si>
  <si>
    <t>2. Levered Beta is based on 2 year daily data</t>
  </si>
  <si>
    <t>3. Unlevered Beta = Levered Beta/(1+(1-Tax Rate) x Debt/Equity)</t>
  </si>
  <si>
    <t>4. Levered Beta = Unlevered Beta*(1+(1-Tax Rate) x Debt/Equity</t>
  </si>
  <si>
    <t>Date</t>
  </si>
  <si>
    <t>Adj Close</t>
  </si>
  <si>
    <t>Closing Price</t>
  </si>
  <si>
    <t>Returns</t>
  </si>
  <si>
    <t>Hawkins Cookers Limited - Weekly Returns</t>
  </si>
  <si>
    <t>Nifty 50 - Weekly Returns</t>
  </si>
  <si>
    <t>Beta 1</t>
  </si>
  <si>
    <t>Beta 2</t>
  </si>
  <si>
    <t>Beta 3</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</si>
  <si>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</si>
  <si>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</si>
  <si>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</si>
  <si>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</si>
  <si>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</si>
  <si>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</si>
  <si>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</si>
  <si>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</si>
  <si>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</si>
  <si>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</si>
  <si>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</si>
  <si>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</si>
  <si>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</si>
  <si>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</si>
  <si>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</si>
  <si>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</si>
  <si>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</si>
  <si>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</si>
  <si>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</si>
  <si>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</si>
  <si>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</si>
  <si>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</si>
  <si>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</si>
  <si>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</si>
  <si>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Beta Drifting</t>
  </si>
  <si>
    <t>Levered Raw Beta</t>
  </si>
  <si>
    <t>Beta Weight</t>
  </si>
  <si>
    <t>Market Beta Weight</t>
  </si>
  <si>
    <t>Market Beta</t>
  </si>
  <si>
    <t>Adjusted Beta</t>
  </si>
  <si>
    <t>Regression Beta - 2 Years Weekly</t>
  </si>
  <si>
    <t>Hawkins Cookers</t>
  </si>
  <si>
    <t>S.No.</t>
  </si>
  <si>
    <t>CMP Rs.</t>
  </si>
  <si>
    <t xml:space="preserve">Mar Cap Rs.Cr. </t>
  </si>
  <si>
    <t>Debt Rs.Cr.</t>
  </si>
  <si>
    <t>Debt / Eq</t>
  </si>
  <si>
    <t>Average</t>
  </si>
  <si>
    <t>Annual</t>
  </si>
  <si>
    <t>Return on Market</t>
  </si>
  <si>
    <t>Average Return</t>
  </si>
  <si>
    <t>Dividend Yield</t>
  </si>
  <si>
    <t>Total Market Return</t>
  </si>
  <si>
    <t>Equity Weight</t>
  </si>
  <si>
    <t>Debt Weight</t>
  </si>
  <si>
    <t>WACC</t>
  </si>
  <si>
    <t>(Values in Rs. Crore)</t>
  </si>
  <si>
    <t>Common Size Income Statement - Hawkins Cookers Limited</t>
  </si>
  <si>
    <t>Common Size Balance Sheet - Hawkins Cookers Limited</t>
  </si>
  <si>
    <t xml:space="preserve"> </t>
  </si>
  <si>
    <t>Calculation of ROIC</t>
  </si>
  <si>
    <t>Current Operating Assets</t>
  </si>
  <si>
    <t>Total Current Operating Assets</t>
  </si>
  <si>
    <t>Current Operating Liabilities</t>
  </si>
  <si>
    <t>Total Current Operating Liabilities</t>
  </si>
  <si>
    <t>Net Operating Working Capital</t>
  </si>
  <si>
    <t>Non Current Assets</t>
  </si>
  <si>
    <t>Net Non Current Assets</t>
  </si>
  <si>
    <t>Invested Capital</t>
  </si>
  <si>
    <t>EBIT</t>
  </si>
  <si>
    <t>Tax rate</t>
  </si>
  <si>
    <t>NOPAT</t>
  </si>
  <si>
    <t>ROIC</t>
  </si>
  <si>
    <t>Calculation of Reinvestment Rate</t>
  </si>
  <si>
    <t>Net Capex</t>
  </si>
  <si>
    <t>Change in Working Capital</t>
  </si>
  <si>
    <t>Reinvestment</t>
  </si>
  <si>
    <t>Reinvestment Rate</t>
  </si>
  <si>
    <t>5 Year Average</t>
  </si>
  <si>
    <t>5 Year Median</t>
  </si>
  <si>
    <t>Calculation of Growth Rate</t>
  </si>
  <si>
    <t>Intrinsic Growth</t>
  </si>
  <si>
    <t>Calculation of PV of FCFF</t>
  </si>
  <si>
    <t>less : Reinvestment Rate</t>
  </si>
  <si>
    <t xml:space="preserve">NOPAT </t>
  </si>
  <si>
    <t xml:space="preserve">Mid Year Convention </t>
  </si>
  <si>
    <t>Discounting Factor</t>
  </si>
  <si>
    <t>PV of FCFF</t>
  </si>
  <si>
    <t>Expecred Growth</t>
  </si>
  <si>
    <t>Terminal Growth</t>
  </si>
  <si>
    <t>Free Cash Flow to Firm (FCFF)</t>
  </si>
  <si>
    <t>Calculation of Terminal Value</t>
  </si>
  <si>
    <t>FCFF (n+1)</t>
  </si>
  <si>
    <t>Terminal Growth Rate</t>
  </si>
  <si>
    <t>Terminal Value</t>
  </si>
  <si>
    <t>PV of Terminal Value</t>
  </si>
  <si>
    <t>Value of Operating Assets</t>
  </si>
  <si>
    <t>Add: Cash</t>
  </si>
  <si>
    <t>Calculation of Equity Value Per Share</t>
  </si>
  <si>
    <t>Value of Equity</t>
  </si>
  <si>
    <t>No. of Equity Shares</t>
  </si>
  <si>
    <t>Equity Value Per Share</t>
  </si>
  <si>
    <t>Share Price</t>
  </si>
  <si>
    <t>Discount/Premium</t>
  </si>
  <si>
    <t>Less: Debt</t>
  </si>
  <si>
    <t xml:space="preserve">Comparable Company Valuation </t>
  </si>
  <si>
    <t>Ticker</t>
  </si>
  <si>
    <t xml:space="preserve">Share Price </t>
  </si>
  <si>
    <t>Shares Outstanding</t>
  </si>
  <si>
    <t>Equity Value</t>
  </si>
  <si>
    <t>Net Debt</t>
  </si>
  <si>
    <t>Enterprise Value</t>
  </si>
  <si>
    <t>Market Data</t>
  </si>
  <si>
    <t>Net Income</t>
  </si>
  <si>
    <t>Financials</t>
  </si>
  <si>
    <t>Valuation</t>
  </si>
  <si>
    <t>EV/EBITDA</t>
  </si>
  <si>
    <t>EV/Revenue</t>
  </si>
  <si>
    <t>P/E</t>
  </si>
  <si>
    <t>Maruti Interior</t>
  </si>
  <si>
    <t>Inflame Applian.</t>
  </si>
  <si>
    <t>No. Eq. Shares Cr.</t>
  </si>
  <si>
    <t>Cash End Rs.Cr.</t>
  </si>
  <si>
    <t>Sales Rs.Cr.</t>
  </si>
  <si>
    <t>NP Ann Rs.Cr.</t>
  </si>
  <si>
    <t>High</t>
  </si>
  <si>
    <t>75th Percentile</t>
  </si>
  <si>
    <t>25th Percentile</t>
  </si>
  <si>
    <t>Low</t>
  </si>
  <si>
    <t>Hawkins Cookers Limited Comparable Valuation</t>
  </si>
  <si>
    <t>Implied Enterprise Value</t>
  </si>
  <si>
    <t>Implied Market Value</t>
  </si>
  <si>
    <t>Implied Value Per Share</t>
  </si>
  <si>
    <t>CELLO</t>
  </si>
  <si>
    <t>HAWKINCOOK</t>
  </si>
  <si>
    <t>BOROLTD</t>
  </si>
  <si>
    <t>ALLTIME</t>
  </si>
  <si>
    <t>CLAYCRAFT</t>
  </si>
  <si>
    <t>SPITZE</t>
  </si>
  <si>
    <t>INFLAME</t>
  </si>
  <si>
    <t>(Values in Rs. Crores)</t>
  </si>
  <si>
    <t>One Page Profile - Hawkins Cookers Limited</t>
  </si>
  <si>
    <t xml:space="preserve">Dsescription </t>
  </si>
  <si>
    <r>
      <t>Hawkins Cookers Limited</t>
    </r>
    <r>
      <rPr>
        <sz val="10"/>
        <color rgb="FF202122"/>
        <rFont val="Arial"/>
        <family val="2"/>
      </rPr>
      <t> Inc and formerly known as </t>
    </r>
    <r>
      <rPr>
        <b/>
        <sz val="10"/>
        <color rgb="FF202122"/>
        <rFont val="Arial"/>
        <family val="2"/>
      </rPr>
      <t>Pressure Cookers and Appliances Ltd</t>
    </r>
    <r>
      <rPr>
        <sz val="10"/>
        <color rgb="FF202122"/>
        <rFont val="Arial"/>
        <family val="2"/>
      </rPr>
      <t>, is an Indian company which manufactures </t>
    </r>
    <r>
      <rPr>
        <sz val="10"/>
        <color rgb="FF3366CC"/>
        <rFont val="Arial"/>
        <family val="2"/>
      </rPr>
      <t>pressure cookers</t>
    </r>
    <r>
      <rPr>
        <sz val="10"/>
        <color rgb="FF202122"/>
        <rFont val="Arial"/>
        <family val="2"/>
      </rPr>
      <t> and </t>
    </r>
    <r>
      <rPr>
        <sz val="10"/>
        <color rgb="FF3366CC"/>
        <rFont val="Arial"/>
        <family val="2"/>
      </rPr>
      <t>cookware</t>
    </r>
    <r>
      <rPr>
        <sz val="10"/>
        <color rgb="FF202122"/>
        <rFont val="Arial"/>
        <family val="2"/>
      </rPr>
      <t>. The company is based in </t>
    </r>
    <r>
      <rPr>
        <sz val="10"/>
        <color rgb="FF3366CC"/>
        <rFont val="Arial"/>
        <family val="2"/>
      </rPr>
      <t>Mumbai</t>
    </r>
    <r>
      <rPr>
        <sz val="10"/>
        <color rgb="FF202122"/>
        <rFont val="Arial"/>
        <family val="2"/>
      </rPr>
      <t> and has three manufacturing plants at </t>
    </r>
    <r>
      <rPr>
        <sz val="10"/>
        <color rgb="FF3366CC"/>
        <rFont val="Arial"/>
        <family val="2"/>
      </rPr>
      <t>Thane</t>
    </r>
    <r>
      <rPr>
        <sz val="10"/>
        <color rgb="FF202122"/>
        <rFont val="Arial"/>
        <family val="2"/>
      </rPr>
      <t>, </t>
    </r>
    <r>
      <rPr>
        <sz val="10"/>
        <color rgb="FF3366CC"/>
        <rFont val="Arial"/>
        <family val="2"/>
      </rPr>
      <t>Hoshiarpur</t>
    </r>
    <r>
      <rPr>
        <sz val="10"/>
        <color rgb="FF202122"/>
        <rFont val="Arial"/>
        <family val="2"/>
      </rPr>
      <t> and </t>
    </r>
    <r>
      <rPr>
        <sz val="10"/>
        <color rgb="FF3366CC"/>
        <rFont val="Arial"/>
        <family val="2"/>
      </rPr>
      <t>Jaunpur</t>
    </r>
    <r>
      <rPr>
        <sz val="10"/>
        <color rgb="FF202122"/>
        <rFont val="Arial"/>
        <family val="2"/>
      </rPr>
      <t>. It manufactures under brand names of Hawkins, Futura, Contura, Hevibase, Big Boy, Miss Mary and Ventura. Hawkins is one of the largest pressure cooker manufacturers in India and exports its products to more than 65 countries.</t>
    </r>
  </si>
  <si>
    <t>Key Finacial Metrics</t>
  </si>
  <si>
    <t>Total Revenue</t>
  </si>
  <si>
    <t>Revenue Growth YoY</t>
  </si>
  <si>
    <t>Gross Profit Margins (%)</t>
  </si>
  <si>
    <t>EBITDA Margins (%)</t>
  </si>
  <si>
    <t>EBIT Margins (%)</t>
  </si>
  <si>
    <t>Net Profit Margins (%)</t>
  </si>
  <si>
    <t>EPS Growth YoY</t>
  </si>
  <si>
    <t>Dividend Per Share (in Rs.)</t>
  </si>
  <si>
    <t>Earnings Per Share (in Rs)</t>
  </si>
  <si>
    <t>Dividend Growth YoY</t>
  </si>
  <si>
    <t>Share Price - 5 Yr</t>
  </si>
  <si>
    <t>Key Finacial Ratios</t>
  </si>
  <si>
    <t>Price to Earnings</t>
  </si>
  <si>
    <t>Price to Book Value</t>
  </si>
  <si>
    <t>Return on Equity (%)</t>
  </si>
  <si>
    <t>Return on Capital Employed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</si>
</sst>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164" formatCode="#,##0.00;\(#,##0.00\);\-"/>
    <numFmt numFmtId="165" formatCode="[$₹-4009]\ #,##0.0;\(#,##0.0\)"/>
    <numFmt numFmtId="166" formatCode="[$₹-4009]\ #,##0.0;\([$₹-4009]\ #,##0.0\)"/>
    <numFmt numFmtId="167" formatCode="[$₹-4009]\ #,##0.00;\([$₹-4009]\ #,##0.00\)"/>
    <numFmt numFmtId="168" formatCode="0.00&quot;x&quot;"/>
    <numFmt numFmtId="169" formatCode="0&quot;A&quot;"/>
    <numFmt numFmtId="170" formatCode="0&quot;E&quot;"/>
    <numFmt numFmtId="171" formatCode="#,##0.0"/>
    <numFmt numFmtId="172" formatCode="yyyy/mm/dd"/>
    <numFmt numFmtId="173" formatCode="0.0"/>
    <numFmt numFmtId="174" formatCode="0.00000"/>
    <numFmt numFmtId="175" formatCode="0&quot;F&quot;"/>
    <numFmt numFmtId="176" formatCode="0.000"/>
    <numFmt numFmtId="177" formatCode="#,##0.0;\(#,##0.0\)"/>
    <numFmt numFmtId="178" formatCode="#,##0.00;\(#,##0.00\)"/>
  </numFmts>
  <fonts count="33" x14ac:knownFonts="1">
    <font>
      <sz val="11"/>
      <color theme="1"/>
      <name val="Calibri"/>
      <family val="2"/>
      <scheme val="minor"/>
    </font>
    <font>
      <b/>
      <sz val="11"/>
      <color rgb="FFFFFFFF"/>
      <name val="Calibri"/>
      <family val="2"/>
    </font>
    <font>
      <b/>
      <sz val="11"/>
      <name val="Calibri"/>
      <family val="2"/>
    </font>
    <font>
      <b/>
      <sz val="14"/>
      <color rgb="FFFFFFFF"/>
      <name val="Calibri"/>
      <family val="2"/>
    </font>
    <font>
      <i/>
      <sz val="10"/>
      <color rgb="FF6B7280"/>
      <name val="Calibri"/>
      <family val="2"/>
    </font>
    <font>
      <b/>
      <sz val="11"/>
      <color rgb="FF1F2937"/>
      <name val="Calibri"/>
      <family val="2"/>
    </font>
    <font>
      <b/>
      <sz val="11"/>
      <color theme="1"/>
      <name val="Calibri"/>
      <family val="2"/>
      <scheme val="minor"/>
    </font>
    <font>
      <sz val="11"/>
      <name val="Calibri"/>
      <family val="2"/>
    </font>
    <font>
      <sz val="11"/>
      <color theme="1"/>
      <name val="Calibri"/>
      <family val="2"/>
      <scheme val="minor"/>
    </font>
    <font>
      <b/>
      <i/>
      <sz val="10"/>
      <color rgb="FF6B7280"/>
      <name val="Calibri"/>
      <family val="2"/>
    </font>
    <font>
      <i/>
      <sz val="11"/>
      <color theme="1"/>
      <name val="Calibri"/>
      <family val="2"/>
      <scheme val="minor"/>
    </font>
    <font>
      <b/>
      <i/>
      <sz val="11"/>
      <color theme="1"/>
      <name val="Calibri"/>
      <family val="2"/>
      <scheme val="minor"/>
    </font>
    <font>
      <i/>
      <sz val="11"/>
      <name val="Calibri"/>
      <family val="2"/>
    </font>
    <font>
      <b/>
      <sz val="11"/>
      <color theme="0"/>
      <name val="Calibri"/>
      <family val="2"/>
      <scheme val="minor"/>
    </font>
    <font>
      <sz val="11"/>
      <color theme="0" tint="-0.499984740745262"/>
      <name val="Calibri"/>
      <family val="2"/>
      <scheme val="minor"/>
    </font>
    <font>
      <b/>
      <sz val="12"/>
      <color theme="0"/>
      <name val="Calibri"/>
      <family val="2"/>
      <scheme val="minor"/>
    </font>
    <font>
      <i/>
      <sz val="9"/>
      <color theme="1"/>
      <name val="Calibri"/>
      <family val="2"/>
      <scheme val="minor"/>
    </font>
    <font>
      <b/>
      <sz val="20"/>
      <color theme="5"/>
      <name val="Calibri"/>
      <family val="2"/>
      <scheme val="minor"/>
    </font>
    <font>
      <i/>
      <sz val="20"/>
      <color theme="5"/>
      <name val="Calibri"/>
      <family val="2"/>
      <scheme val="minor"/>
    </font>
    <font>
      <b/>
      <sz val="11"/>
      <color theme="5"/>
      <name val="Calibri"/>
      <family val="2"/>
      <scheme val="minor"/>
    </font>
    <font>
      <i/>
      <sz val="11"/>
      <color theme="5"/>
      <name val="Calibri"/>
      <family val="2"/>
      <scheme val="minor"/>
    </font>
    <font>
      <sz val="11"/>
      <color theme="0"/>
      <name val="Calibri"/>
      <family val="2"/>
      <scheme val="minor"/>
    </font>
    <font>
      <vertAlign val="superscript"/>
      <sz val="11"/>
      <color theme="1"/>
      <name val="Calibri"/>
      <family val="2"/>
      <scheme val="minor"/>
    </font>
    <font>
      <sz val="11"/>
      <color rgb="FF3333FF"/>
      <name val="Calibri"/>
      <family val="2"/>
      <scheme val="minor"/>
    </font>
    <font>
      <i/>
      <sz val="11"/>
      <color rgb="FF3333FF"/>
      <name val="Calibri"/>
      <family val="2"/>
      <scheme val="minor"/>
    </font>
    <font>
      <b/>
      <sz val="11"/>
      <name val="Calibri"/>
      <family val="2"/>
      <scheme val="minor"/>
    </font>
    <font>
      <i/>
      <sz val="11"/>
      <name val="Calibri"/>
      <family val="2"/>
      <scheme val="minor"/>
    </font>
    <font>
      <sz val="11"/>
      <color theme="5"/>
      <name val="Calibri"/>
      <family val="2"/>
      <scheme val="minor"/>
    </font>
    <font>
      <b/>
      <sz val="12"/>
      <color theme="5"/>
      <name val="Calibri"/>
      <family val="2"/>
      <scheme val="minor"/>
    </font>
    <font>
      <b/>
      <sz val="14"/>
      <color theme="0"/>
      <name val="Calibri"/>
      <family val="2"/>
      <scheme val="minor"/>
    </font>
    <font>
      <b/>
      <sz val="10"/>
      <color rgb="FF202122"/>
      <name val="Arial"/>
      <family val="2"/>
    </font>
    <font>
      <sz val="10"/>
      <color rgb="FF202122"/>
      <name val="Arial"/>
      <family val="2"/>
    </font>
    <font>
      <sz val="10"/>
      <color rgb="FF3366CC"/>
      <name val="Arial"/>
      <family val="2"/>
    </font>
  </fonts>
  <fills count="15">
    <fill>
      <patternFill patternType="none"/>
    </fill>
    <fill>
      <patternFill patternType="gray125"/>
    </fill>
    <fill>
      <patternFill patternType="solid">
        <fgColor rgb="FF1F2937"/>
      </patternFill>
    </fill>
    <fill>
      <patternFill patternType="solid">
        <fgColor rgb="FFF3F4F6"/>
      </patternFill>
    </fill>
    <fill>
      <patternFill patternType="solid">
        <fgColor theme="1" tint="0.249977111117893"/>
        <bgColor indexed="64"/>
      </patternFill>
    </fill>
    <fill>
      <patternFill patternType="solid">
        <fgColor theme="0"/>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5"/>
        <bgColor indexed="64"/>
      </patternFill>
    </fill>
    <fill>
      <patternFill patternType="solid">
        <fgColor theme="5" tint="0.59999389629810485"/>
        <bgColor indexed="64"/>
      </patternFill>
    </fill>
    <fill>
      <patternFill patternType="solid">
        <fgColor theme="3" tint="0.59999389629810485"/>
        <bgColor indexed="64"/>
      </patternFill>
    </fill>
    <fill>
      <patternFill patternType="solid">
        <fgColor rgb="FF92D050"/>
        <bgColor indexed="64"/>
      </patternFill>
    </fill>
    <fill>
      <patternFill patternType="solid">
        <fgColor theme="5" tint="0.79998168889431442"/>
        <bgColor indexed="64"/>
      </patternFill>
    </fill>
    <fill>
      <patternFill patternType="solid">
        <fgColor theme="1" tint="0.499984740745262"/>
        <bgColor indexed="64"/>
      </patternFill>
    </fill>
  </fills>
  <borders count="24">
    <border>
      <left/>
      <right/>
      <top/>
      <bottom/>
      <diagonal/>
    </border>
    <border>
      <left/>
      <right/>
      <top/>
      <bottom style="medium">
        <color rgb="FF1F4E78"/>
      </bottom>
      <diagonal/>
    </border>
    <border>
      <left/>
      <right/>
      <top style="thin">
        <color rgb="FFB7B7B7"/>
      </top>
      <bottom/>
      <diagonal/>
    </border>
    <border>
      <left/>
      <right/>
      <top/>
      <bottom style="hair">
        <color auto="1"/>
      </bottom>
      <diagonal/>
    </border>
    <border>
      <left/>
      <right/>
      <top style="hair">
        <color auto="1"/>
      </top>
      <bottom style="hair">
        <color auto="1"/>
      </bottom>
      <diagonal/>
    </border>
    <border>
      <left/>
      <right/>
      <top style="thin">
        <color auto="1"/>
      </top>
      <bottom style="thin">
        <color auto="1"/>
      </bottom>
      <diagonal/>
    </border>
    <border>
      <left/>
      <right/>
      <top style="thin">
        <color auto="1"/>
      </top>
      <bottom style="double">
        <color auto="1"/>
      </bottom>
      <diagonal/>
    </border>
    <border>
      <left/>
      <right/>
      <top style="hair">
        <color auto="1"/>
      </top>
      <bottom/>
      <diagonal/>
    </border>
    <border>
      <left/>
      <right/>
      <top/>
      <bottom style="thick">
        <color rgb="FFC00000"/>
      </bottom>
      <diagonal/>
    </border>
    <border>
      <left/>
      <right/>
      <top style="thick">
        <color rgb="FFC00000"/>
      </top>
      <bottom/>
      <diagonal/>
    </border>
    <border>
      <left/>
      <right/>
      <top/>
      <bottom style="thin">
        <color auto="1"/>
      </bottom>
      <diagonal/>
    </border>
    <border>
      <left/>
      <right/>
      <top style="dotted">
        <color auto="1"/>
      </top>
      <bottom/>
      <diagonal/>
    </border>
    <border>
      <left/>
      <right/>
      <top/>
      <bottom style="medium">
        <color auto="1"/>
      </bottom>
      <diagonal/>
    </border>
    <border>
      <left/>
      <right/>
      <top style="medium">
        <color indexed="64"/>
      </top>
      <bottom style="thin">
        <color auto="1"/>
      </bottom>
      <diagonal/>
    </border>
    <border>
      <left/>
      <right/>
      <top style="medium">
        <color indexed="64"/>
      </top>
      <bottom/>
      <diagonal/>
    </border>
    <border>
      <left/>
      <right/>
      <top/>
      <bottom style="dotted">
        <color auto="1"/>
      </bottom>
      <diagonal/>
    </border>
    <border>
      <left/>
      <right/>
      <top style="medium">
        <color auto="1"/>
      </top>
      <bottom style="thick">
        <color auto="1"/>
      </bottom>
      <diagonal/>
    </border>
    <border>
      <left/>
      <right/>
      <top style="thin">
        <color indexed="64"/>
      </top>
      <bottom/>
      <diagonal/>
    </border>
    <border>
      <left/>
      <right/>
      <top style="hair">
        <color indexed="64"/>
      </top>
      <bottom style="thin">
        <color indexed="64"/>
      </bottom>
      <diagonal/>
    </border>
    <border>
      <left/>
      <right/>
      <top style="thin">
        <color auto="1"/>
      </top>
      <bottom style="medium">
        <color auto="1"/>
      </bottom>
      <diagonal/>
    </border>
    <border>
      <left/>
      <right/>
      <top/>
      <bottom style="medium">
        <color theme="0"/>
      </bottom>
      <diagonal/>
    </border>
    <border>
      <left/>
      <right/>
      <top/>
      <bottom style="medium">
        <color theme="5"/>
      </bottom>
      <diagonal/>
    </border>
    <border>
      <left/>
      <right/>
      <top/>
      <bottom style="medium">
        <color rgb="FFC00000"/>
      </bottom>
      <diagonal/>
    </border>
    <border>
      <left style="thin">
        <color auto="1"/>
      </left>
      <right style="thin">
        <color auto="1"/>
      </right>
      <top style="thin">
        <color auto="1"/>
      </top>
      <bottom style="thin">
        <color auto="1"/>
      </bottom>
      <diagonal/>
    </border>
  </borders>
  <cellStyleXfs count="2">
    <xf numFmtId="0" fontId="0" fillId="0" borderId="0"/>
    <xf numFmtId="9" fontId="8" fillId="0" borderId="0" applyFont="0" applyFill="0" applyBorder="0" applyAlignment="0" applyProtection="0"/>
  </cellStyleXfs>
  <cellXfs count="243">
    <xf numFmtId="0" fontId="0" fillId="0" borderId="0" xfId="0"/>
    <xf numFmtId="0" fontId="2" fillId="0" borderId="0" xfId="0" applyFont="1"/>
    <xf numFmtId="0" fontId="5" fillId="3" borderId="0" xfId="0" applyFont="1" applyFill="1" applyAlignment="1">
      <alignment vertical="center" wrapText="1"/>
    </xf>
    <xf numFmtId="0" fontId="0" fillId="0" borderId="0" xfId="0" applyAlignment="1">
      <alignment vertical="center" wrapText="1"/>
    </xf>
    <xf numFmtId="164" fontId="0" fillId="0" borderId="0" xfId="0" applyNumberFormat="1" applyAlignment="1">
      <alignment horizontal="right" vertical="center"/>
    </xf>
    <xf numFmtId="0" fontId="2" fillId="0" borderId="0" xfId="0" applyFont="1" applyAlignment="1">
      <alignment vertical="center" wrapText="1"/>
    </xf>
    <xf numFmtId="0" fontId="5" fillId="3" borderId="2" xfId="0" applyFont="1" applyFill="1" applyBorder="1" applyAlignment="1">
      <alignment vertical="center" wrapText="1"/>
    </xf>
    <xf numFmtId="164" fontId="0" fillId="0" borderId="0" xfId="0" applyNumberFormat="1"/>
    <xf numFmtId="0" fontId="0" fillId="0" borderId="0" xfId="0" applyAlignment="1">
      <alignment horizontal="center"/>
    </xf>
    <xf numFmtId="0" fontId="1" fillId="4" borderId="1" xfId="0" applyFont="1" applyFill="1" applyBorder="1" applyAlignment="1">
      <alignment horizontal="center"/>
    </xf>
    <xf numFmtId="0" fontId="5" fillId="5" borderId="0" xfId="0" applyFont="1" applyFill="1" applyAlignment="1">
      <alignment vertical="center" wrapText="1"/>
    </xf>
    <xf numFmtId="0" fontId="2" fillId="6" borderId="0" xfId="0" applyFont="1" applyFill="1" applyAlignment="1">
      <alignment vertical="center" wrapText="1"/>
    </xf>
    <xf numFmtId="164" fontId="2" fillId="6" borderId="0" xfId="0" applyNumberFormat="1" applyFont="1" applyFill="1" applyAlignment="1">
      <alignment horizontal="right" vertical="center"/>
    </xf>
    <xf numFmtId="0" fontId="0" fillId="0" borderId="3" xfId="0" applyBorder="1" applyAlignment="1">
      <alignment vertical="center" wrapText="1"/>
    </xf>
    <xf numFmtId="164" fontId="0" fillId="0" borderId="3" xfId="0" applyNumberFormat="1" applyBorder="1" applyAlignment="1">
      <alignment horizontal="right" vertical="center"/>
    </xf>
    <xf numFmtId="0" fontId="7" fillId="5" borderId="0" xfId="0" applyFont="1" applyFill="1" applyAlignment="1">
      <alignment vertical="center" wrapText="1"/>
    </xf>
    <xf numFmtId="164" fontId="7" fillId="5" borderId="0" xfId="0" applyNumberFormat="1" applyFont="1" applyFill="1" applyAlignment="1">
      <alignment horizontal="right" vertical="center"/>
    </xf>
    <xf numFmtId="0" fontId="6" fillId="7" borderId="3" xfId="0" applyFont="1" applyFill="1" applyBorder="1" applyAlignment="1">
      <alignment vertical="center" wrapText="1"/>
    </xf>
    <xf numFmtId="164" fontId="6" fillId="7" borderId="3" xfId="0" applyNumberFormat="1" applyFont="1" applyFill="1" applyBorder="1" applyAlignment="1">
      <alignment horizontal="right" vertical="center"/>
    </xf>
    <xf numFmtId="0" fontId="5" fillId="8" borderId="0" xfId="0" applyFont="1" applyFill="1" applyAlignment="1">
      <alignment vertical="center" wrapText="1"/>
    </xf>
    <xf numFmtId="0" fontId="5" fillId="3" borderId="0" xfId="0" applyFont="1" applyFill="1"/>
    <xf numFmtId="0" fontId="4" fillId="0" borderId="0" xfId="0" applyFont="1"/>
    <xf numFmtId="0" fontId="3" fillId="2" borderId="0" xfId="0" applyFont="1" applyFill="1"/>
    <xf numFmtId="39" fontId="0" fillId="0" borderId="0" xfId="0" applyNumberFormat="1"/>
    <xf numFmtId="0" fontId="0" fillId="0" borderId="0" xfId="0" applyAlignment="1">
      <alignment horizontal="right"/>
    </xf>
    <xf numFmtId="0" fontId="10" fillId="0" borderId="0" xfId="0" applyFont="1" applyAlignment="1">
      <alignment horizontal="right"/>
    </xf>
    <xf numFmtId="0" fontId="6" fillId="0" borderId="0" xfId="0" applyFont="1" applyAlignment="1">
      <alignment vertical="center" wrapText="1"/>
    </xf>
    <xf numFmtId="0" fontId="10" fillId="0" borderId="0" xfId="0" applyFont="1" applyAlignment="1">
      <alignment vertical="center" wrapText="1"/>
    </xf>
    <xf numFmtId="164" fontId="10" fillId="0" borderId="0" xfId="0" applyNumberFormat="1" applyFont="1" applyAlignment="1">
      <alignment horizontal="right" vertical="center"/>
    </xf>
    <xf numFmtId="0" fontId="11" fillId="0" borderId="0" xfId="0" applyFont="1" applyAlignment="1">
      <alignment vertical="center" wrapText="1"/>
    </xf>
    <xf numFmtId="164" fontId="11" fillId="0" borderId="0" xfId="0" applyNumberFormat="1" applyFont="1" applyAlignment="1">
      <alignment horizontal="right" vertical="center"/>
    </xf>
    <xf numFmtId="0" fontId="12" fillId="0" borderId="2" xfId="0" applyFont="1" applyBorder="1" applyAlignment="1">
      <alignment vertical="center" wrapText="1"/>
    </xf>
    <xf numFmtId="164" fontId="12" fillId="0" borderId="2" xfId="0" applyNumberFormat="1" applyFont="1" applyBorder="1" applyAlignment="1">
      <alignment horizontal="right" vertical="center"/>
    </xf>
    <xf numFmtId="0" fontId="12" fillId="0" borderId="0" xfId="0" applyFont="1" applyAlignment="1">
      <alignment vertical="center" wrapText="1"/>
    </xf>
    <xf numFmtId="164" fontId="12" fillId="0" borderId="0" xfId="0" applyNumberFormat="1" applyFont="1" applyAlignment="1">
      <alignment horizontal="right" vertical="center"/>
    </xf>
    <xf numFmtId="0" fontId="13" fillId="9" borderId="0" xfId="0" applyFont="1" applyFill="1" applyAlignment="1">
      <alignment horizontal="right"/>
    </xf>
    <xf numFmtId="165" fontId="0" fillId="0" borderId="0" xfId="0" applyNumberFormat="1" applyAlignment="1">
      <alignment horizontal="right"/>
    </xf>
    <xf numFmtId="10" fontId="14" fillId="0" borderId="0" xfId="1" applyNumberFormat="1" applyFont="1" applyAlignment="1">
      <alignment horizontal="right"/>
    </xf>
    <xf numFmtId="0" fontId="0" fillId="0" borderId="0" xfId="0" applyAlignment="1">
      <alignment horizontal="left"/>
    </xf>
    <xf numFmtId="0" fontId="13" fillId="9" borderId="0" xfId="0" applyFont="1" applyFill="1" applyAlignment="1">
      <alignment horizontal="left"/>
    </xf>
    <xf numFmtId="0" fontId="6" fillId="0" borderId="0" xfId="0" applyFont="1" applyAlignment="1">
      <alignment horizontal="left"/>
    </xf>
    <xf numFmtId="0" fontId="14" fillId="0" borderId="0" xfId="0" applyFont="1" applyAlignment="1">
      <alignment horizontal="left"/>
    </xf>
    <xf numFmtId="165" fontId="6" fillId="0" borderId="0" xfId="0" applyNumberFormat="1" applyFont="1" applyAlignment="1">
      <alignment horizontal="right"/>
    </xf>
    <xf numFmtId="0" fontId="6" fillId="0" borderId="4" xfId="0" applyFont="1" applyBorder="1" applyAlignment="1">
      <alignment horizontal="left"/>
    </xf>
    <xf numFmtId="165" fontId="6" fillId="0" borderId="4" xfId="0" applyNumberFormat="1" applyFont="1" applyBorder="1" applyAlignment="1">
      <alignment horizontal="right"/>
    </xf>
    <xf numFmtId="0" fontId="6" fillId="10" borderId="0" xfId="0" applyFont="1" applyFill="1" applyAlignment="1">
      <alignment horizontal="left"/>
    </xf>
    <xf numFmtId="0" fontId="0" fillId="10" borderId="0" xfId="0" applyFill="1" applyAlignment="1">
      <alignment horizontal="right"/>
    </xf>
    <xf numFmtId="10" fontId="0" fillId="0" borderId="0" xfId="1" applyNumberFormat="1" applyFont="1" applyAlignment="1">
      <alignment horizontal="right"/>
    </xf>
    <xf numFmtId="0" fontId="6" fillId="11" borderId="0" xfId="0" applyFont="1" applyFill="1" applyAlignment="1">
      <alignment horizontal="center"/>
    </xf>
    <xf numFmtId="0" fontId="6" fillId="12" borderId="0" xfId="0" applyFont="1" applyFill="1" applyAlignment="1">
      <alignment horizontal="center"/>
    </xf>
    <xf numFmtId="0" fontId="16" fillId="0" borderId="0" xfId="0" applyFont="1" applyAlignment="1">
      <alignment horizontal="right"/>
    </xf>
    <xf numFmtId="0" fontId="10" fillId="0" borderId="0" xfId="0" applyFont="1" applyAlignment="1">
      <alignment horizontal="left"/>
    </xf>
    <xf numFmtId="166" fontId="0" fillId="0" borderId="0" xfId="0" applyNumberFormat="1" applyAlignment="1">
      <alignment horizontal="right"/>
    </xf>
    <xf numFmtId="166" fontId="10" fillId="0" borderId="0" xfId="0" applyNumberFormat="1" applyFont="1" applyAlignment="1">
      <alignment horizontal="right"/>
    </xf>
    <xf numFmtId="0" fontId="6" fillId="0" borderId="5" xfId="0" applyFont="1" applyBorder="1" applyAlignment="1">
      <alignment horizontal="left"/>
    </xf>
    <xf numFmtId="165" fontId="6" fillId="0" borderId="5" xfId="0" applyNumberFormat="1" applyFont="1" applyBorder="1" applyAlignment="1">
      <alignment horizontal="right"/>
    </xf>
    <xf numFmtId="167" fontId="10" fillId="0" borderId="0" xfId="0" applyNumberFormat="1" applyFont="1" applyAlignment="1">
      <alignment horizontal="right"/>
    </xf>
    <xf numFmtId="166" fontId="6" fillId="0" borderId="0" xfId="0" applyNumberFormat="1" applyFont="1" applyAlignment="1">
      <alignment horizontal="right"/>
    </xf>
    <xf numFmtId="0" fontId="6" fillId="0" borderId="6" xfId="0" applyFont="1" applyBorder="1" applyAlignment="1">
      <alignment horizontal="left"/>
    </xf>
    <xf numFmtId="166" fontId="6" fillId="0" borderId="6" xfId="0" applyNumberFormat="1" applyFont="1" applyBorder="1" applyAlignment="1">
      <alignment horizontal="right"/>
    </xf>
    <xf numFmtId="0" fontId="13" fillId="9" borderId="0" xfId="0" applyFont="1" applyFill="1" applyAlignment="1">
      <alignment horizontal="center"/>
    </xf>
    <xf numFmtId="0" fontId="0" fillId="0" borderId="7" xfId="0" applyBorder="1"/>
    <xf numFmtId="10" fontId="0" fillId="0" borderId="7" xfId="1" applyNumberFormat="1" applyFont="1" applyBorder="1"/>
    <xf numFmtId="10" fontId="0" fillId="0" borderId="7" xfId="0" applyNumberFormat="1" applyBorder="1"/>
    <xf numFmtId="10" fontId="0" fillId="0" borderId="0" xfId="1" applyNumberFormat="1" applyFont="1" applyBorder="1"/>
    <xf numFmtId="10" fontId="0" fillId="0" borderId="0" xfId="0" applyNumberFormat="1"/>
    <xf numFmtId="0" fontId="0" fillId="0" borderId="3" xfId="0" applyBorder="1"/>
    <xf numFmtId="10" fontId="0" fillId="0" borderId="3" xfId="1" applyNumberFormat="1" applyFont="1" applyBorder="1"/>
    <xf numFmtId="10" fontId="0" fillId="0" borderId="3" xfId="0" applyNumberFormat="1" applyBorder="1"/>
    <xf numFmtId="168" fontId="0" fillId="0" borderId="3" xfId="0" applyNumberFormat="1" applyBorder="1"/>
    <xf numFmtId="168" fontId="0" fillId="0" borderId="0" xfId="0" applyNumberFormat="1"/>
    <xf numFmtId="168" fontId="0" fillId="0" borderId="7" xfId="0" applyNumberFormat="1" applyBorder="1"/>
    <xf numFmtId="1" fontId="0" fillId="0" borderId="0" xfId="0" applyNumberFormat="1"/>
    <xf numFmtId="1" fontId="0" fillId="0" borderId="7" xfId="0" applyNumberFormat="1" applyBorder="1"/>
    <xf numFmtId="1" fontId="0" fillId="0" borderId="3" xfId="0" applyNumberFormat="1" applyBorder="1"/>
    <xf numFmtId="0" fontId="0" fillId="0" borderId="9" xfId="0" applyBorder="1"/>
    <xf numFmtId="0" fontId="17" fillId="0" borderId="9" xfId="0" applyFont="1" applyBorder="1" applyAlignment="1">
      <alignment vertical="center"/>
    </xf>
    <xf numFmtId="0" fontId="17" fillId="0" borderId="0" xfId="0" applyFont="1" applyAlignment="1">
      <alignment vertical="center"/>
    </xf>
    <xf numFmtId="0" fontId="17" fillId="0" borderId="8" xfId="0" applyFont="1" applyBorder="1" applyAlignment="1">
      <alignment vertical="center"/>
    </xf>
    <xf numFmtId="0" fontId="16" fillId="0" borderId="0" xfId="0" applyFont="1"/>
    <xf numFmtId="2" fontId="0" fillId="0" borderId="0" xfId="0" applyNumberFormat="1" applyAlignment="1">
      <alignment horizontal="right"/>
    </xf>
    <xf numFmtId="0" fontId="10" fillId="0" borderId="8" xfId="0" applyFont="1" applyBorder="1" applyAlignment="1">
      <alignment horizontal="center" vertical="center"/>
    </xf>
    <xf numFmtId="0" fontId="19" fillId="0" borderId="9" xfId="0" applyFont="1" applyBorder="1" applyAlignment="1">
      <alignment vertical="center"/>
    </xf>
    <xf numFmtId="0" fontId="19" fillId="0" borderId="0" xfId="0" applyFont="1" applyAlignment="1">
      <alignment vertical="center"/>
    </xf>
    <xf numFmtId="0" fontId="20" fillId="0" borderId="8" xfId="0" applyFont="1" applyBorder="1" applyAlignment="1">
      <alignment horizontal="center" vertical="center"/>
    </xf>
    <xf numFmtId="171" fontId="0" fillId="0" borderId="0" xfId="0" applyNumberFormat="1" applyAlignment="1">
      <alignment horizontal="right"/>
    </xf>
    <xf numFmtId="0" fontId="16" fillId="0" borderId="8" xfId="0" applyFont="1" applyBorder="1" applyAlignment="1">
      <alignment horizontal="right" vertical="center"/>
    </xf>
    <xf numFmtId="0" fontId="13" fillId="9" borderId="0" xfId="0" applyFont="1" applyFill="1"/>
    <xf numFmtId="0" fontId="21" fillId="9" borderId="0" xfId="0" applyFont="1" applyFill="1"/>
    <xf numFmtId="0" fontId="10" fillId="0" borderId="0" xfId="0" applyFont="1"/>
    <xf numFmtId="0" fontId="0" fillId="0" borderId="11" xfId="0" applyBorder="1"/>
    <xf numFmtId="0" fontId="6" fillId="0" borderId="12" xfId="0" applyFont="1" applyBorder="1"/>
    <xf numFmtId="0" fontId="0" fillId="0" borderId="12" xfId="0" applyBorder="1"/>
    <xf numFmtId="0" fontId="23" fillId="0" borderId="0" xfId="0" applyFont="1"/>
    <xf numFmtId="172" fontId="0" fillId="0" borderId="0" xfId="0" applyNumberFormat="1" applyAlignment="1">
      <alignment horizontal="left"/>
    </xf>
    <xf numFmtId="173" fontId="0" fillId="0" borderId="0" xfId="0" applyNumberFormat="1" applyAlignment="1">
      <alignment horizontal="right"/>
    </xf>
    <xf numFmtId="0" fontId="6" fillId="0" borderId="0" xfId="0" applyFont="1"/>
    <xf numFmtId="10" fontId="0" fillId="0" borderId="0" xfId="1" applyNumberFormat="1" applyFont="1"/>
    <xf numFmtId="0" fontId="2" fillId="0" borderId="10" xfId="0" applyFont="1" applyBorder="1" applyAlignment="1">
      <alignment horizontal="left" vertical="top"/>
    </xf>
    <xf numFmtId="0" fontId="2" fillId="0" borderId="10" xfId="0" applyFont="1" applyBorder="1" applyAlignment="1">
      <alignment horizontal="right" vertical="top"/>
    </xf>
    <xf numFmtId="2" fontId="0" fillId="0" borderId="0" xfId="0" applyNumberFormat="1"/>
    <xf numFmtId="0" fontId="10" fillId="0" borderId="13" xfId="0" applyFont="1" applyBorder="1" applyAlignment="1">
      <alignment horizontal="center"/>
    </xf>
    <xf numFmtId="0" fontId="10" fillId="0" borderId="13" xfId="0" applyFont="1" applyBorder="1" applyAlignment="1">
      <alignment horizontal="centerContinuous"/>
    </xf>
    <xf numFmtId="0" fontId="7" fillId="0" borderId="0" xfId="0" applyFont="1" applyAlignment="1">
      <alignment horizontal="left" vertical="top"/>
    </xf>
    <xf numFmtId="0" fontId="6" fillId="13" borderId="0" xfId="0" applyFont="1" applyFill="1"/>
    <xf numFmtId="2" fontId="6" fillId="13" borderId="0" xfId="0" applyNumberFormat="1" applyFont="1" applyFill="1"/>
    <xf numFmtId="2" fontId="23" fillId="0" borderId="0" xfId="0" applyNumberFormat="1" applyFont="1"/>
    <xf numFmtId="10" fontId="23" fillId="0" borderId="0" xfId="1" applyNumberFormat="1" applyFont="1"/>
    <xf numFmtId="0" fontId="23" fillId="13" borderId="0" xfId="0" applyFont="1" applyFill="1"/>
    <xf numFmtId="10" fontId="23" fillId="13" borderId="0" xfId="1" applyNumberFormat="1" applyFont="1" applyFill="1"/>
    <xf numFmtId="10" fontId="0" fillId="13" borderId="0" xfId="1" applyNumberFormat="1" applyFont="1" applyFill="1"/>
    <xf numFmtId="2" fontId="23" fillId="13" borderId="0" xfId="0" applyNumberFormat="1" applyFont="1" applyFill="1"/>
    <xf numFmtId="2" fontId="0" fillId="13" borderId="0" xfId="0" applyNumberFormat="1" applyFill="1"/>
    <xf numFmtId="0" fontId="6" fillId="0" borderId="14" xfId="0" applyFont="1" applyBorder="1"/>
    <xf numFmtId="10" fontId="0" fillId="0" borderId="14" xfId="0" applyNumberFormat="1" applyBorder="1"/>
    <xf numFmtId="2" fontId="0" fillId="0" borderId="14" xfId="0" applyNumberFormat="1" applyBorder="1"/>
    <xf numFmtId="10" fontId="0" fillId="0" borderId="12" xfId="0" applyNumberFormat="1" applyBorder="1"/>
    <xf numFmtId="2" fontId="0" fillId="0" borderId="12" xfId="0" applyNumberFormat="1" applyBorder="1"/>
    <xf numFmtId="10" fontId="23" fillId="0" borderId="0" xfId="0" applyNumberFormat="1" applyFont="1"/>
    <xf numFmtId="0" fontId="0" fillId="0" borderId="12" xfId="0" applyBorder="1" applyAlignment="1">
      <alignment horizontal="right"/>
    </xf>
    <xf numFmtId="173" fontId="23" fillId="0" borderId="0" xfId="0" applyNumberFormat="1" applyFont="1" applyAlignment="1">
      <alignment horizontal="right"/>
    </xf>
    <xf numFmtId="173" fontId="23" fillId="0" borderId="0" xfId="0" applyNumberFormat="1" applyFont="1"/>
    <xf numFmtId="173" fontId="23" fillId="13" borderId="0" xfId="0" applyNumberFormat="1" applyFont="1" applyFill="1" applyAlignment="1">
      <alignment horizontal="right"/>
    </xf>
    <xf numFmtId="173" fontId="23" fillId="13" borderId="0" xfId="0" applyNumberFormat="1" applyFont="1" applyFill="1"/>
    <xf numFmtId="173" fontId="0" fillId="0" borderId="11" xfId="0" applyNumberFormat="1" applyBorder="1"/>
    <xf numFmtId="10" fontId="0" fillId="0" borderId="11" xfId="1" applyNumberFormat="1" applyFont="1" applyBorder="1"/>
    <xf numFmtId="10" fontId="0" fillId="0" borderId="15" xfId="0" applyNumberFormat="1" applyBorder="1"/>
    <xf numFmtId="10" fontId="0" fillId="7" borderId="11" xfId="0" applyNumberFormat="1" applyFill="1" applyBorder="1"/>
    <xf numFmtId="0" fontId="6" fillId="0" borderId="0" xfId="0" applyFont="1" applyAlignment="1">
      <alignment horizontal="right"/>
    </xf>
    <xf numFmtId="10" fontId="23" fillId="0" borderId="0" xfId="0" applyNumberFormat="1" applyFont="1" applyAlignment="1">
      <alignment horizontal="right"/>
    </xf>
    <xf numFmtId="10" fontId="6" fillId="13" borderId="0" xfId="0" applyNumberFormat="1" applyFont="1" applyFill="1"/>
    <xf numFmtId="2" fontId="0" fillId="7" borderId="15" xfId="0" applyNumberFormat="1" applyFill="1" applyBorder="1"/>
    <xf numFmtId="10" fontId="6" fillId="13" borderId="0" xfId="1" applyNumberFormat="1" applyFont="1" applyFill="1"/>
    <xf numFmtId="0" fontId="6" fillId="0" borderId="10" xfId="0" applyFont="1" applyBorder="1" applyAlignment="1">
      <alignment horizontal="right"/>
    </xf>
    <xf numFmtId="0" fontId="13" fillId="0" borderId="0" xfId="0" applyFont="1" applyAlignment="1">
      <alignment horizontal="center"/>
    </xf>
    <xf numFmtId="2" fontId="6" fillId="0" borderId="0" xfId="0" applyNumberFormat="1" applyFont="1"/>
    <xf numFmtId="173" fontId="0" fillId="0" borderId="0" xfId="0" applyNumberFormat="1"/>
    <xf numFmtId="174" fontId="0" fillId="0" borderId="0" xfId="0" applyNumberFormat="1"/>
    <xf numFmtId="174" fontId="0" fillId="0" borderId="12" xfId="0" applyNumberFormat="1" applyBorder="1"/>
    <xf numFmtId="170" fontId="0" fillId="0" borderId="0" xfId="0" applyNumberFormat="1" applyAlignment="1">
      <alignment horizontal="right"/>
    </xf>
    <xf numFmtId="10" fontId="8" fillId="0" borderId="0" xfId="1" applyNumberFormat="1" applyFont="1" applyFill="1" applyAlignment="1">
      <alignment horizontal="right"/>
    </xf>
    <xf numFmtId="0" fontId="6" fillId="0" borderId="5" xfId="0" applyFont="1" applyBorder="1"/>
    <xf numFmtId="10" fontId="6" fillId="0" borderId="5" xfId="1" applyNumberFormat="1" applyFont="1" applyBorder="1"/>
    <xf numFmtId="0" fontId="6" fillId="0" borderId="4" xfId="0" applyFont="1" applyBorder="1"/>
    <xf numFmtId="0" fontId="0" fillId="0" borderId="4" xfId="0" applyBorder="1"/>
    <xf numFmtId="10" fontId="0" fillId="0" borderId="4" xfId="1" applyNumberFormat="1" applyFont="1" applyBorder="1"/>
    <xf numFmtId="0" fontId="0" fillId="0" borderId="4" xfId="0" applyBorder="1" applyAlignment="1">
      <alignment horizontal="left" vertical="center" wrapText="1"/>
    </xf>
    <xf numFmtId="10" fontId="6" fillId="0" borderId="4" xfId="1" applyNumberFormat="1" applyFont="1" applyBorder="1"/>
    <xf numFmtId="10" fontId="0" fillId="0" borderId="4" xfId="1" applyNumberFormat="1" applyFont="1" applyBorder="1" applyAlignment="1">
      <alignment vertical="center"/>
    </xf>
    <xf numFmtId="0" fontId="0" fillId="0" borderId="4" xfId="0" applyBorder="1" applyAlignment="1">
      <alignment horizontal="left"/>
    </xf>
    <xf numFmtId="169" fontId="0" fillId="0" borderId="4" xfId="0" applyNumberFormat="1" applyBorder="1" applyAlignment="1">
      <alignment horizontal="right"/>
    </xf>
    <xf numFmtId="171" fontId="0" fillId="0" borderId="4" xfId="0" applyNumberFormat="1" applyBorder="1" applyAlignment="1">
      <alignment horizontal="right"/>
    </xf>
    <xf numFmtId="0" fontId="0" fillId="0" borderId="4" xfId="0" applyBorder="1" applyAlignment="1">
      <alignment horizontal="right"/>
    </xf>
    <xf numFmtId="10" fontId="0" fillId="0" borderId="4" xfId="1" applyNumberFormat="1" applyFont="1" applyBorder="1" applyAlignment="1">
      <alignment horizontal="right"/>
    </xf>
    <xf numFmtId="0" fontId="0" fillId="13" borderId="4" xfId="0" applyFill="1" applyBorder="1" applyAlignment="1">
      <alignment horizontal="left"/>
    </xf>
    <xf numFmtId="170" fontId="0" fillId="13" borderId="4" xfId="0" applyNumberFormat="1" applyFill="1" applyBorder="1" applyAlignment="1">
      <alignment horizontal="right"/>
    </xf>
    <xf numFmtId="171" fontId="0" fillId="13" borderId="4" xfId="0" applyNumberFormat="1" applyFill="1" applyBorder="1" applyAlignment="1">
      <alignment horizontal="right"/>
    </xf>
    <xf numFmtId="10" fontId="8" fillId="13" borderId="4" xfId="1" applyNumberFormat="1" applyFont="1" applyFill="1" applyBorder="1" applyAlignment="1">
      <alignment horizontal="right"/>
    </xf>
    <xf numFmtId="173" fontId="0" fillId="0" borderId="4" xfId="0" applyNumberFormat="1" applyBorder="1"/>
    <xf numFmtId="173" fontId="0" fillId="0" borderId="7" xfId="0" applyNumberFormat="1" applyBorder="1"/>
    <xf numFmtId="0" fontId="6" fillId="0" borderId="16" xfId="0" applyFont="1" applyBorder="1"/>
    <xf numFmtId="173" fontId="6" fillId="0" borderId="16" xfId="0" applyNumberFormat="1" applyFont="1" applyBorder="1"/>
    <xf numFmtId="10" fontId="6" fillId="0" borderId="16" xfId="1" applyNumberFormat="1" applyFont="1" applyBorder="1"/>
    <xf numFmtId="0" fontId="6" fillId="0" borderId="17" xfId="0" applyFont="1" applyBorder="1"/>
    <xf numFmtId="173" fontId="6" fillId="0" borderId="17" xfId="0" applyNumberFormat="1" applyFont="1" applyBorder="1"/>
    <xf numFmtId="173" fontId="6" fillId="0" borderId="4" xfId="0" applyNumberFormat="1" applyFont="1" applyBorder="1"/>
    <xf numFmtId="10" fontId="6" fillId="0" borderId="0" xfId="1" applyNumberFormat="1" applyFont="1" applyBorder="1"/>
    <xf numFmtId="10" fontId="6" fillId="0" borderId="14" xfId="1" applyNumberFormat="1" applyFont="1" applyBorder="1"/>
    <xf numFmtId="10" fontId="0" fillId="0" borderId="4" xfId="0" applyNumberFormat="1" applyBorder="1"/>
    <xf numFmtId="0" fontId="0" fillId="0" borderId="5" xfId="0" applyBorder="1"/>
    <xf numFmtId="173" fontId="0" fillId="0" borderId="5" xfId="0" applyNumberFormat="1" applyBorder="1"/>
    <xf numFmtId="10" fontId="6" fillId="0" borderId="14" xfId="0" applyNumberFormat="1" applyFont="1" applyBorder="1"/>
    <xf numFmtId="0" fontId="10" fillId="0" borderId="18" xfId="0" applyFont="1" applyBorder="1"/>
    <xf numFmtId="10" fontId="24" fillId="0" borderId="18" xfId="1" applyNumberFormat="1" applyFont="1" applyBorder="1"/>
    <xf numFmtId="175" fontId="13" fillId="9" borderId="0" xfId="0" applyNumberFormat="1" applyFont="1" applyFill="1"/>
    <xf numFmtId="169" fontId="13" fillId="9" borderId="0" xfId="0" applyNumberFormat="1" applyFont="1" applyFill="1"/>
    <xf numFmtId="0" fontId="6" fillId="0" borderId="19" xfId="0" applyFont="1" applyBorder="1"/>
    <xf numFmtId="10" fontId="23" fillId="0" borderId="4" xfId="1" applyNumberFormat="1" applyFont="1" applyBorder="1"/>
    <xf numFmtId="0" fontId="23" fillId="0" borderId="4" xfId="0" applyFont="1" applyBorder="1"/>
    <xf numFmtId="10" fontId="23" fillId="7" borderId="4" xfId="1" applyNumberFormat="1" applyFont="1" applyFill="1" applyBorder="1"/>
    <xf numFmtId="10" fontId="0" fillId="7" borderId="4" xfId="0" applyNumberFormat="1" applyFill="1" applyBorder="1"/>
    <xf numFmtId="0" fontId="0" fillId="7" borderId="4" xfId="0" applyFill="1" applyBorder="1"/>
    <xf numFmtId="0" fontId="0" fillId="7" borderId="0" xfId="0" applyFill="1"/>
    <xf numFmtId="0" fontId="6" fillId="7" borderId="19" xfId="0" applyFont="1" applyFill="1" applyBorder="1"/>
    <xf numFmtId="176" fontId="0" fillId="0" borderId="4" xfId="0" applyNumberFormat="1" applyBorder="1"/>
    <xf numFmtId="173" fontId="6" fillId="0" borderId="19" xfId="0" applyNumberFormat="1" applyFont="1" applyBorder="1"/>
    <xf numFmtId="177" fontId="6" fillId="0" borderId="19" xfId="0" applyNumberFormat="1" applyFont="1" applyBorder="1"/>
    <xf numFmtId="177" fontId="0" fillId="0" borderId="4" xfId="0" applyNumberFormat="1" applyBorder="1"/>
    <xf numFmtId="177" fontId="0" fillId="7" borderId="4" xfId="0" applyNumberFormat="1" applyFill="1" applyBorder="1"/>
    <xf numFmtId="177" fontId="6" fillId="0" borderId="4" xfId="0" applyNumberFormat="1" applyFont="1" applyBorder="1"/>
    <xf numFmtId="178" fontId="0" fillId="0" borderId="4" xfId="0" applyNumberFormat="1" applyBorder="1"/>
    <xf numFmtId="0" fontId="6" fillId="0" borderId="7" xfId="0" applyFont="1" applyBorder="1"/>
    <xf numFmtId="177" fontId="6" fillId="0" borderId="7" xfId="0" applyNumberFormat="1" applyFont="1" applyBorder="1"/>
    <xf numFmtId="177" fontId="0" fillId="0" borderId="3" xfId="0" applyNumberFormat="1" applyBorder="1"/>
    <xf numFmtId="177" fontId="0" fillId="0" borderId="0" xfId="0" applyNumberFormat="1"/>
    <xf numFmtId="0" fontId="25" fillId="13" borderId="0" xfId="0" applyFont="1" applyFill="1"/>
    <xf numFmtId="168" fontId="25" fillId="13" borderId="0" xfId="1" applyNumberFormat="1" applyFont="1" applyFill="1"/>
    <xf numFmtId="0" fontId="26" fillId="13" borderId="0" xfId="0" applyFont="1" applyFill="1"/>
    <xf numFmtId="177" fontId="26" fillId="13" borderId="0" xfId="0" applyNumberFormat="1" applyFont="1" applyFill="1"/>
    <xf numFmtId="0" fontId="10" fillId="13" borderId="0" xfId="0" applyFont="1" applyFill="1"/>
    <xf numFmtId="10" fontId="10" fillId="13" borderId="0" xfId="0" applyNumberFormat="1" applyFont="1" applyFill="1"/>
    <xf numFmtId="10" fontId="24" fillId="13" borderId="0" xfId="1" applyNumberFormat="1" applyFont="1" applyFill="1"/>
    <xf numFmtId="0" fontId="13" fillId="9" borderId="0" xfId="0" applyFont="1" applyFill="1" applyAlignment="1">
      <alignment horizontal="right" wrapText="1"/>
    </xf>
    <xf numFmtId="0" fontId="13" fillId="0" borderId="0" xfId="0" applyFont="1"/>
    <xf numFmtId="0" fontId="13" fillId="0" borderId="0" xfId="0" applyFont="1" applyAlignment="1">
      <alignment horizontal="right" wrapText="1"/>
    </xf>
    <xf numFmtId="0" fontId="13" fillId="0" borderId="0" xfId="0" applyFont="1" applyAlignment="1">
      <alignment horizontal="right"/>
    </xf>
    <xf numFmtId="168" fontId="0" fillId="0" borderId="4" xfId="0" applyNumberFormat="1" applyBorder="1"/>
    <xf numFmtId="0" fontId="6" fillId="13" borderId="4" xfId="0" applyFont="1" applyFill="1" applyBorder="1"/>
    <xf numFmtId="173" fontId="6" fillId="13" borderId="4" xfId="0" applyNumberFormat="1" applyFont="1" applyFill="1" applyBorder="1"/>
    <xf numFmtId="168" fontId="6" fillId="13" borderId="4" xfId="0" applyNumberFormat="1" applyFont="1" applyFill="1" applyBorder="1"/>
    <xf numFmtId="0" fontId="0" fillId="13" borderId="4" xfId="0" applyFill="1" applyBorder="1"/>
    <xf numFmtId="168" fontId="0" fillId="13" borderId="4" xfId="0" applyNumberFormat="1" applyFill="1" applyBorder="1"/>
    <xf numFmtId="0" fontId="6" fillId="13" borderId="19" xfId="0" applyFont="1" applyFill="1" applyBorder="1"/>
    <xf numFmtId="173" fontId="6" fillId="13" borderId="19" xfId="0" applyNumberFormat="1" applyFont="1" applyFill="1" applyBorder="1"/>
    <xf numFmtId="0" fontId="27" fillId="0" borderId="21" xfId="0" applyFont="1" applyBorder="1"/>
    <xf numFmtId="0" fontId="28" fillId="0" borderId="21" xfId="0" applyFont="1" applyBorder="1"/>
    <xf numFmtId="0" fontId="30" fillId="0" borderId="0" xfId="0" applyFont="1" applyAlignment="1">
      <alignment wrapText="1"/>
    </xf>
    <xf numFmtId="0" fontId="29" fillId="0" borderId="0" xfId="0" applyFont="1" applyAlignment="1">
      <alignment horizontal="center"/>
    </xf>
    <xf numFmtId="37" fontId="0" fillId="0" borderId="0" xfId="0" applyNumberFormat="1"/>
    <xf numFmtId="0" fontId="16" fillId="0" borderId="0" xfId="0" applyFont="1" applyAlignment="1">
      <alignment horizontal="left"/>
    </xf>
    <xf numFmtId="10" fontId="10" fillId="0" borderId="0" xfId="0" applyNumberFormat="1" applyFont="1"/>
    <xf numFmtId="0" fontId="3" fillId="2" borderId="0" xfId="0" applyFont="1" applyFill="1" applyAlignment="1">
      <alignment horizontal="center"/>
    </xf>
    <xf numFmtId="0" fontId="0" fillId="0" borderId="0" xfId="0"/>
    <xf numFmtId="0" fontId="29" fillId="9" borderId="0" xfId="0" applyFont="1" applyFill="1" applyAlignment="1">
      <alignment horizontal="center"/>
    </xf>
    <xf numFmtId="0" fontId="17" fillId="0" borderId="9" xfId="0" applyFont="1" applyBorder="1" applyAlignment="1">
      <alignment horizontal="left" vertical="center"/>
    </xf>
    <xf numFmtId="0" fontId="17" fillId="0" borderId="0" xfId="0" applyFont="1" applyAlignment="1">
      <alignment horizontal="left" vertical="center"/>
    </xf>
    <xf numFmtId="0" fontId="17" fillId="0" borderId="8" xfId="0" applyFont="1" applyBorder="1" applyAlignment="1">
      <alignment horizontal="left" vertical="center"/>
    </xf>
    <xf numFmtId="0" fontId="10" fillId="0" borderId="8" xfId="0" applyFont="1" applyBorder="1" applyAlignment="1">
      <alignment horizontal="right" vertical="center"/>
    </xf>
    <xf numFmtId="0" fontId="15" fillId="9" borderId="0" xfId="0" applyFont="1" applyFill="1" applyAlignment="1">
      <alignment horizontal="center" vertical="center"/>
    </xf>
    <xf numFmtId="0" fontId="10" fillId="0" borderId="8" xfId="0" applyFont="1" applyBorder="1" applyAlignment="1">
      <alignment horizontal="center" vertical="center"/>
    </xf>
    <xf numFmtId="0" fontId="18" fillId="0" borderId="8" xfId="0" applyFont="1" applyBorder="1" applyAlignment="1">
      <alignment horizontal="center" vertical="center"/>
    </xf>
    <xf numFmtId="0" fontId="6" fillId="0" borderId="0" xfId="0" applyFont="1" applyAlignment="1">
      <alignment horizontal="center"/>
    </xf>
    <xf numFmtId="0" fontId="0" fillId="0" borderId="12" xfId="0" applyBorder="1" applyAlignment="1">
      <alignment horizontal="right" vertical="top"/>
    </xf>
    <xf numFmtId="0" fontId="13" fillId="9" borderId="0" xfId="0" applyFont="1" applyFill="1" applyAlignment="1">
      <alignment horizontal="center"/>
    </xf>
    <xf numFmtId="0" fontId="10" fillId="0" borderId="9" xfId="0" applyFont="1" applyBorder="1" applyAlignment="1">
      <alignment horizontal="right"/>
    </xf>
    <xf numFmtId="0" fontId="13" fillId="9" borderId="20" xfId="0" applyFont="1" applyFill="1" applyBorder="1" applyAlignment="1">
      <alignment horizontal="center"/>
    </xf>
    <xf numFmtId="0" fontId="16" fillId="0" borderId="22" xfId="0" applyFont="1" applyBorder="1" applyAlignment="1">
      <alignment horizontal="right"/>
    </xf>
    <xf numFmtId="0" fontId="9" fillId="0" borderId="0" xfId="0" applyFont="1" applyAlignment="1">
      <alignment horizontal="center"/>
    </xf>
    <xf numFmtId="0" fontId="4" fillId="0" borderId="0" xfId="0" applyFont="1"/>
    <xf numFmtId="0" fontId="2" fillId="0" borderId="23" xfId="0" applyFont="1" applyBorder="1" applyAlignment="1">
      <alignment horizontal="center" vertical="top"/>
    </xf>
    <xf numFmtId="172" fontId="0" fillId="0" borderId="0" xfId="0" applyNumberFormat="1"/>
    <xf numFmtId="0" fontId="0" fillId="14" borderId="0" xfId="0" applyFill="1"/>
    <xf numFmtId="0" fontId="0" fillId="0" borderId="3" xfId="0" applyFont="1" applyBorder="1" applyAlignment="1">
      <alignment horizontal="left" vertical="center" wrapText="1"/>
    </xf>
  </cellXfs>
  <cellStyles count="2">
    <cellStyle name="Normal" xfId="0" builtinId="0"/>
    <cellStyle name="Percent" xfId="1" builtinId="5"/>
  </cellStyles>
  <dxfs count="4">
    <dxf>
      <fill>
        <patternFill patternType="solid">
          <fgColor rgb="FFFEF3C7"/>
        </patternFill>
      </fill>
    </dxf>
    <dxf>
      <fill>
        <patternFill patternType="solid">
          <fgColor rgb="FFDCFCE7"/>
        </patternFill>
      </fill>
    </dxf>
    <dxf>
      <fill>
        <patternFill patternType="solid">
          <fgColor rgb="FFFCE4D6"/>
        </patternFill>
      </fill>
    </dxf>
    <dxf>
      <fill>
        <patternFill patternType="solid">
          <fgColor rgb="FFE2F0D9"/>
        </patternFill>
      </fill>
    </dxf>
  </dxfs>
  <tableStyles count="0" defaultTableStyle="TableStyleMedium9" defaultPivotStyle="PivotStyleLight16"/>
  <colors>
    <mruColors>
      <color rgb="FF3333FF"/>
      <color rgb="FFF8DCD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'OPP Data'!$Q$3</c:f>
              <c:strCache>
                <c:ptCount val="1"/>
                <c:pt idx="0">
                  <c:v>Adj Close</c:v>
                </c:pt>
              </c:strCache>
            </c:strRef>
          </c:tx>
          <c:spPr>
            <a:ln w="28575" cap="rnd">
              <a:solidFill>
                <a:schemeClr val="accent2"/>
              </a:solidFill>
              <a:round/>
            </a:ln>
            <a:effectLst/>
          </c:spPr>
          <c:marker>
            <c:symbol val="none"/>
          </c:marker>
          <c:cat>
            <c:numRef>
              <c:f>'OPP Data'!$P$4:$P$1238</c:f>
              <c:numCache>
                <c:formatCode>yyyy/mm/dd</c:formatCode>
                <c:ptCount val="1235"/>
                <c:pt idx="0">
                  <c:v>44446</c:v>
                </c:pt>
                <c:pt idx="1">
                  <c:v>44447</c:v>
                </c:pt>
                <c:pt idx="2">
                  <c:v>44448</c:v>
                </c:pt>
                <c:pt idx="3">
                  <c:v>44452</c:v>
                </c:pt>
                <c:pt idx="4">
                  <c:v>44453</c:v>
                </c:pt>
                <c:pt idx="5">
                  <c:v>44454</c:v>
                </c:pt>
                <c:pt idx="6">
                  <c:v>44455</c:v>
                </c:pt>
                <c:pt idx="7">
                  <c:v>44456</c:v>
                </c:pt>
                <c:pt idx="8">
                  <c:v>44459</c:v>
                </c:pt>
                <c:pt idx="9">
                  <c:v>44460</c:v>
                </c:pt>
                <c:pt idx="10">
                  <c:v>44461</c:v>
                </c:pt>
                <c:pt idx="11">
                  <c:v>44462</c:v>
                </c:pt>
                <c:pt idx="12">
                  <c:v>44463</c:v>
                </c:pt>
                <c:pt idx="13">
                  <c:v>44466</c:v>
                </c:pt>
                <c:pt idx="14">
                  <c:v>44467</c:v>
                </c:pt>
                <c:pt idx="15">
                  <c:v>44468</c:v>
                </c:pt>
                <c:pt idx="16">
                  <c:v>44469</c:v>
                </c:pt>
                <c:pt idx="17">
                  <c:v>44470</c:v>
                </c:pt>
                <c:pt idx="18">
                  <c:v>44473</c:v>
                </c:pt>
                <c:pt idx="19">
                  <c:v>44474</c:v>
                </c:pt>
                <c:pt idx="20">
                  <c:v>44475</c:v>
                </c:pt>
                <c:pt idx="21">
                  <c:v>44476</c:v>
                </c:pt>
                <c:pt idx="22">
                  <c:v>44477</c:v>
                </c:pt>
                <c:pt idx="23">
                  <c:v>44480</c:v>
                </c:pt>
                <c:pt idx="24">
                  <c:v>44481</c:v>
                </c:pt>
                <c:pt idx="25">
                  <c:v>44482</c:v>
                </c:pt>
                <c:pt idx="26">
                  <c:v>44483</c:v>
                </c:pt>
                <c:pt idx="27">
                  <c:v>44487</c:v>
                </c:pt>
                <c:pt idx="28">
                  <c:v>44488</c:v>
                </c:pt>
                <c:pt idx="29">
                  <c:v>44489</c:v>
                </c:pt>
                <c:pt idx="30">
                  <c:v>44490</c:v>
                </c:pt>
                <c:pt idx="31">
                  <c:v>44491</c:v>
                </c:pt>
                <c:pt idx="32">
                  <c:v>44494</c:v>
                </c:pt>
                <c:pt idx="33">
                  <c:v>44495</c:v>
                </c:pt>
                <c:pt idx="34">
                  <c:v>44496</c:v>
                </c:pt>
                <c:pt idx="35">
                  <c:v>44497</c:v>
                </c:pt>
                <c:pt idx="36">
                  <c:v>44498</c:v>
                </c:pt>
                <c:pt idx="37">
                  <c:v>44501</c:v>
                </c:pt>
                <c:pt idx="38">
                  <c:v>44502</c:v>
                </c:pt>
                <c:pt idx="39">
                  <c:v>44503</c:v>
                </c:pt>
                <c:pt idx="40">
                  <c:v>44504</c:v>
                </c:pt>
                <c:pt idx="41">
                  <c:v>44508</c:v>
                </c:pt>
                <c:pt idx="42">
                  <c:v>44509</c:v>
                </c:pt>
                <c:pt idx="43">
                  <c:v>44510</c:v>
                </c:pt>
                <c:pt idx="44">
                  <c:v>44511</c:v>
                </c:pt>
                <c:pt idx="45">
                  <c:v>44512</c:v>
                </c:pt>
                <c:pt idx="46">
                  <c:v>44515</c:v>
                </c:pt>
                <c:pt idx="47">
                  <c:v>44516</c:v>
                </c:pt>
                <c:pt idx="48">
                  <c:v>44517</c:v>
                </c:pt>
                <c:pt idx="49">
                  <c:v>44518</c:v>
                </c:pt>
                <c:pt idx="50">
                  <c:v>44522</c:v>
                </c:pt>
                <c:pt idx="51">
                  <c:v>44523</c:v>
                </c:pt>
                <c:pt idx="52">
                  <c:v>44524</c:v>
                </c:pt>
                <c:pt idx="53">
                  <c:v>44525</c:v>
                </c:pt>
                <c:pt idx="54">
                  <c:v>44526</c:v>
                </c:pt>
                <c:pt idx="55">
                  <c:v>44529</c:v>
                </c:pt>
                <c:pt idx="56">
                  <c:v>44530</c:v>
                </c:pt>
                <c:pt idx="57">
                  <c:v>44531</c:v>
                </c:pt>
                <c:pt idx="58">
                  <c:v>44532</c:v>
                </c:pt>
                <c:pt idx="59">
                  <c:v>44533</c:v>
                </c:pt>
                <c:pt idx="60">
                  <c:v>44536</c:v>
                </c:pt>
                <c:pt idx="61">
                  <c:v>44537</c:v>
                </c:pt>
                <c:pt idx="62">
                  <c:v>44538</c:v>
                </c:pt>
                <c:pt idx="63">
                  <c:v>44539</c:v>
                </c:pt>
                <c:pt idx="64">
                  <c:v>44540</c:v>
                </c:pt>
                <c:pt idx="65">
                  <c:v>44543</c:v>
                </c:pt>
                <c:pt idx="66">
                  <c:v>44544</c:v>
                </c:pt>
                <c:pt idx="67">
                  <c:v>44545</c:v>
                </c:pt>
                <c:pt idx="68">
                  <c:v>44546</c:v>
                </c:pt>
                <c:pt idx="69">
                  <c:v>44547</c:v>
                </c:pt>
                <c:pt idx="70">
                  <c:v>44550</c:v>
                </c:pt>
                <c:pt idx="71">
                  <c:v>44551</c:v>
                </c:pt>
                <c:pt idx="72">
                  <c:v>44552</c:v>
                </c:pt>
                <c:pt idx="73">
                  <c:v>44553</c:v>
                </c:pt>
                <c:pt idx="74">
                  <c:v>44554</c:v>
                </c:pt>
                <c:pt idx="75">
                  <c:v>44557</c:v>
                </c:pt>
                <c:pt idx="76">
                  <c:v>44558</c:v>
                </c:pt>
                <c:pt idx="77">
                  <c:v>44559</c:v>
                </c:pt>
                <c:pt idx="78">
                  <c:v>44560</c:v>
                </c:pt>
                <c:pt idx="79">
                  <c:v>44561</c:v>
                </c:pt>
                <c:pt idx="80">
                  <c:v>44564</c:v>
                </c:pt>
                <c:pt idx="81">
                  <c:v>44565</c:v>
                </c:pt>
                <c:pt idx="82">
                  <c:v>44566</c:v>
                </c:pt>
                <c:pt idx="83">
                  <c:v>44567</c:v>
                </c:pt>
                <c:pt idx="84">
                  <c:v>44568</c:v>
                </c:pt>
                <c:pt idx="85">
                  <c:v>44571</c:v>
                </c:pt>
                <c:pt idx="86">
                  <c:v>44572</c:v>
                </c:pt>
                <c:pt idx="87">
                  <c:v>44573</c:v>
                </c:pt>
                <c:pt idx="88">
                  <c:v>44574</c:v>
                </c:pt>
                <c:pt idx="89">
                  <c:v>44575</c:v>
                </c:pt>
                <c:pt idx="90">
                  <c:v>44578</c:v>
                </c:pt>
                <c:pt idx="91">
                  <c:v>44579</c:v>
                </c:pt>
                <c:pt idx="92">
                  <c:v>44580</c:v>
                </c:pt>
                <c:pt idx="93">
                  <c:v>44581</c:v>
                </c:pt>
                <c:pt idx="94">
                  <c:v>44582</c:v>
                </c:pt>
                <c:pt idx="95">
                  <c:v>44585</c:v>
                </c:pt>
                <c:pt idx="96">
                  <c:v>44586</c:v>
                </c:pt>
                <c:pt idx="97">
                  <c:v>44588</c:v>
                </c:pt>
                <c:pt idx="98">
                  <c:v>44589</c:v>
                </c:pt>
                <c:pt idx="99">
                  <c:v>44592</c:v>
                </c:pt>
                <c:pt idx="100">
                  <c:v>44593</c:v>
                </c:pt>
                <c:pt idx="101">
                  <c:v>44594</c:v>
                </c:pt>
                <c:pt idx="102">
                  <c:v>44595</c:v>
                </c:pt>
                <c:pt idx="103">
                  <c:v>44596</c:v>
                </c:pt>
                <c:pt idx="104">
                  <c:v>44599</c:v>
                </c:pt>
                <c:pt idx="105">
                  <c:v>44600</c:v>
                </c:pt>
                <c:pt idx="106">
                  <c:v>44601</c:v>
                </c:pt>
                <c:pt idx="107">
                  <c:v>44602</c:v>
                </c:pt>
                <c:pt idx="108">
                  <c:v>44603</c:v>
                </c:pt>
                <c:pt idx="109">
                  <c:v>44606</c:v>
                </c:pt>
                <c:pt idx="110">
                  <c:v>44607</c:v>
                </c:pt>
                <c:pt idx="111">
                  <c:v>44608</c:v>
                </c:pt>
                <c:pt idx="112">
                  <c:v>44609</c:v>
                </c:pt>
                <c:pt idx="113">
                  <c:v>44610</c:v>
                </c:pt>
                <c:pt idx="114">
                  <c:v>44613</c:v>
                </c:pt>
                <c:pt idx="115">
                  <c:v>44614</c:v>
                </c:pt>
                <c:pt idx="116">
                  <c:v>44615</c:v>
                </c:pt>
                <c:pt idx="117">
                  <c:v>44616</c:v>
                </c:pt>
                <c:pt idx="118">
                  <c:v>44617</c:v>
                </c:pt>
                <c:pt idx="119">
                  <c:v>44620</c:v>
                </c:pt>
                <c:pt idx="120">
                  <c:v>44622</c:v>
                </c:pt>
                <c:pt idx="121">
                  <c:v>44623</c:v>
                </c:pt>
                <c:pt idx="122">
                  <c:v>44624</c:v>
                </c:pt>
                <c:pt idx="123">
                  <c:v>44627</c:v>
                </c:pt>
                <c:pt idx="124">
                  <c:v>44628</c:v>
                </c:pt>
                <c:pt idx="125">
                  <c:v>44629</c:v>
                </c:pt>
                <c:pt idx="126">
                  <c:v>44630</c:v>
                </c:pt>
                <c:pt idx="127">
                  <c:v>44631</c:v>
                </c:pt>
                <c:pt idx="128">
                  <c:v>44634</c:v>
                </c:pt>
                <c:pt idx="129">
                  <c:v>44635</c:v>
                </c:pt>
                <c:pt idx="130">
                  <c:v>44636</c:v>
                </c:pt>
                <c:pt idx="131">
                  <c:v>44637</c:v>
                </c:pt>
                <c:pt idx="132">
                  <c:v>44641</c:v>
                </c:pt>
                <c:pt idx="133">
                  <c:v>44642</c:v>
                </c:pt>
                <c:pt idx="134">
                  <c:v>44643</c:v>
                </c:pt>
                <c:pt idx="135">
                  <c:v>44644</c:v>
                </c:pt>
                <c:pt idx="136">
                  <c:v>44645</c:v>
                </c:pt>
                <c:pt idx="137">
                  <c:v>44648</c:v>
                </c:pt>
                <c:pt idx="138">
                  <c:v>44649</c:v>
                </c:pt>
                <c:pt idx="139">
                  <c:v>44650</c:v>
                </c:pt>
                <c:pt idx="140">
                  <c:v>44651</c:v>
                </c:pt>
                <c:pt idx="141">
                  <c:v>44652</c:v>
                </c:pt>
                <c:pt idx="142">
                  <c:v>44655</c:v>
                </c:pt>
                <c:pt idx="143">
                  <c:v>44656</c:v>
                </c:pt>
                <c:pt idx="144">
                  <c:v>44657</c:v>
                </c:pt>
                <c:pt idx="145">
                  <c:v>44658</c:v>
                </c:pt>
                <c:pt idx="146">
                  <c:v>44659</c:v>
                </c:pt>
                <c:pt idx="147">
                  <c:v>44662</c:v>
                </c:pt>
                <c:pt idx="148">
                  <c:v>44663</c:v>
                </c:pt>
                <c:pt idx="149">
                  <c:v>44664</c:v>
                </c:pt>
                <c:pt idx="150">
                  <c:v>44669</c:v>
                </c:pt>
                <c:pt idx="151">
                  <c:v>44670</c:v>
                </c:pt>
                <c:pt idx="152">
                  <c:v>44671</c:v>
                </c:pt>
                <c:pt idx="153">
                  <c:v>44672</c:v>
                </c:pt>
                <c:pt idx="154">
                  <c:v>44673</c:v>
                </c:pt>
                <c:pt idx="155">
                  <c:v>44676</c:v>
                </c:pt>
                <c:pt idx="156">
                  <c:v>44677</c:v>
                </c:pt>
                <c:pt idx="157">
                  <c:v>44678</c:v>
                </c:pt>
                <c:pt idx="158">
                  <c:v>44679</c:v>
                </c:pt>
                <c:pt idx="159">
                  <c:v>44680</c:v>
                </c:pt>
                <c:pt idx="160">
                  <c:v>44683</c:v>
                </c:pt>
                <c:pt idx="161">
                  <c:v>44685</c:v>
                </c:pt>
                <c:pt idx="162">
                  <c:v>44686</c:v>
                </c:pt>
                <c:pt idx="163">
                  <c:v>44687</c:v>
                </c:pt>
                <c:pt idx="164">
                  <c:v>44690</c:v>
                </c:pt>
                <c:pt idx="165">
                  <c:v>44691</c:v>
                </c:pt>
                <c:pt idx="166">
                  <c:v>44692</c:v>
                </c:pt>
                <c:pt idx="167">
                  <c:v>44693</c:v>
                </c:pt>
                <c:pt idx="168">
                  <c:v>44694</c:v>
                </c:pt>
                <c:pt idx="169">
                  <c:v>44697</c:v>
                </c:pt>
                <c:pt idx="170">
                  <c:v>44698</c:v>
                </c:pt>
                <c:pt idx="171">
                  <c:v>44699</c:v>
                </c:pt>
                <c:pt idx="172">
                  <c:v>44700</c:v>
                </c:pt>
                <c:pt idx="173">
                  <c:v>44701</c:v>
                </c:pt>
                <c:pt idx="174">
                  <c:v>44704</c:v>
                </c:pt>
                <c:pt idx="175">
                  <c:v>44705</c:v>
                </c:pt>
                <c:pt idx="176">
                  <c:v>44706</c:v>
                </c:pt>
                <c:pt idx="177">
                  <c:v>44707</c:v>
                </c:pt>
                <c:pt idx="178">
                  <c:v>44708</c:v>
                </c:pt>
                <c:pt idx="179">
                  <c:v>44711</c:v>
                </c:pt>
                <c:pt idx="180">
                  <c:v>44712</c:v>
                </c:pt>
                <c:pt idx="181">
                  <c:v>44713</c:v>
                </c:pt>
                <c:pt idx="182">
                  <c:v>44714</c:v>
                </c:pt>
                <c:pt idx="183">
                  <c:v>44715</c:v>
                </c:pt>
                <c:pt idx="184">
                  <c:v>44718</c:v>
                </c:pt>
                <c:pt idx="185">
                  <c:v>44719</c:v>
                </c:pt>
                <c:pt idx="186">
                  <c:v>44720</c:v>
                </c:pt>
                <c:pt idx="187">
                  <c:v>44721</c:v>
                </c:pt>
                <c:pt idx="188">
                  <c:v>44722</c:v>
                </c:pt>
                <c:pt idx="189">
                  <c:v>44725</c:v>
                </c:pt>
                <c:pt idx="190">
                  <c:v>44726</c:v>
                </c:pt>
                <c:pt idx="191">
                  <c:v>44727</c:v>
                </c:pt>
                <c:pt idx="192">
                  <c:v>44728</c:v>
                </c:pt>
                <c:pt idx="193">
                  <c:v>44729</c:v>
                </c:pt>
                <c:pt idx="194">
                  <c:v>44732</c:v>
                </c:pt>
                <c:pt idx="195">
                  <c:v>44733</c:v>
                </c:pt>
                <c:pt idx="196">
                  <c:v>44734</c:v>
                </c:pt>
                <c:pt idx="197">
                  <c:v>44735</c:v>
                </c:pt>
                <c:pt idx="198">
                  <c:v>44736</c:v>
                </c:pt>
                <c:pt idx="199">
                  <c:v>44739</c:v>
                </c:pt>
                <c:pt idx="200">
                  <c:v>44740</c:v>
                </c:pt>
                <c:pt idx="201">
                  <c:v>44741</c:v>
                </c:pt>
                <c:pt idx="202">
                  <c:v>44742</c:v>
                </c:pt>
                <c:pt idx="203">
                  <c:v>44743</c:v>
                </c:pt>
                <c:pt idx="204">
                  <c:v>44746</c:v>
                </c:pt>
                <c:pt idx="205">
                  <c:v>44747</c:v>
                </c:pt>
                <c:pt idx="206">
                  <c:v>44748</c:v>
                </c:pt>
                <c:pt idx="207">
                  <c:v>44749</c:v>
                </c:pt>
                <c:pt idx="208">
                  <c:v>44750</c:v>
                </c:pt>
                <c:pt idx="209">
                  <c:v>44753</c:v>
                </c:pt>
                <c:pt idx="210">
                  <c:v>44754</c:v>
                </c:pt>
                <c:pt idx="211">
                  <c:v>44755</c:v>
                </c:pt>
                <c:pt idx="212">
                  <c:v>44756</c:v>
                </c:pt>
                <c:pt idx="213">
                  <c:v>44757</c:v>
                </c:pt>
                <c:pt idx="214">
                  <c:v>44760</c:v>
                </c:pt>
                <c:pt idx="215">
                  <c:v>44761</c:v>
                </c:pt>
                <c:pt idx="216">
                  <c:v>44762</c:v>
                </c:pt>
                <c:pt idx="217">
                  <c:v>44763</c:v>
                </c:pt>
                <c:pt idx="218">
                  <c:v>44764</c:v>
                </c:pt>
                <c:pt idx="219">
                  <c:v>44767</c:v>
                </c:pt>
                <c:pt idx="220">
                  <c:v>44768</c:v>
                </c:pt>
                <c:pt idx="221">
                  <c:v>44769</c:v>
                </c:pt>
                <c:pt idx="222">
                  <c:v>44770</c:v>
                </c:pt>
                <c:pt idx="223">
                  <c:v>44771</c:v>
                </c:pt>
                <c:pt idx="224">
                  <c:v>44774</c:v>
                </c:pt>
                <c:pt idx="225">
                  <c:v>44775</c:v>
                </c:pt>
                <c:pt idx="226">
                  <c:v>44776</c:v>
                </c:pt>
                <c:pt idx="227">
                  <c:v>44777</c:v>
                </c:pt>
                <c:pt idx="228">
                  <c:v>44778</c:v>
                </c:pt>
                <c:pt idx="229">
                  <c:v>44781</c:v>
                </c:pt>
                <c:pt idx="230">
                  <c:v>44783</c:v>
                </c:pt>
                <c:pt idx="231">
                  <c:v>44784</c:v>
                </c:pt>
                <c:pt idx="232">
                  <c:v>44785</c:v>
                </c:pt>
                <c:pt idx="233">
                  <c:v>44789</c:v>
                </c:pt>
                <c:pt idx="234">
                  <c:v>44790</c:v>
                </c:pt>
                <c:pt idx="235">
                  <c:v>44791</c:v>
                </c:pt>
                <c:pt idx="236">
                  <c:v>44792</c:v>
                </c:pt>
                <c:pt idx="237">
                  <c:v>44795</c:v>
                </c:pt>
                <c:pt idx="238">
                  <c:v>44796</c:v>
                </c:pt>
                <c:pt idx="239">
                  <c:v>44797</c:v>
                </c:pt>
                <c:pt idx="240">
                  <c:v>44798</c:v>
                </c:pt>
                <c:pt idx="241">
                  <c:v>44799</c:v>
                </c:pt>
                <c:pt idx="242">
                  <c:v>44802</c:v>
                </c:pt>
                <c:pt idx="243">
                  <c:v>44803</c:v>
                </c:pt>
                <c:pt idx="244">
                  <c:v>44805</c:v>
                </c:pt>
                <c:pt idx="245">
                  <c:v>44806</c:v>
                </c:pt>
                <c:pt idx="246">
                  <c:v>44809</c:v>
                </c:pt>
                <c:pt idx="247">
                  <c:v>44810</c:v>
                </c:pt>
                <c:pt idx="248">
                  <c:v>44811</c:v>
                </c:pt>
                <c:pt idx="249">
                  <c:v>44812</c:v>
                </c:pt>
                <c:pt idx="250">
                  <c:v>44813</c:v>
                </c:pt>
                <c:pt idx="251">
                  <c:v>44816</c:v>
                </c:pt>
                <c:pt idx="252">
                  <c:v>44817</c:v>
                </c:pt>
                <c:pt idx="253">
                  <c:v>44818</c:v>
                </c:pt>
                <c:pt idx="254">
                  <c:v>44819</c:v>
                </c:pt>
                <c:pt idx="255">
                  <c:v>44820</c:v>
                </c:pt>
                <c:pt idx="256">
                  <c:v>44823</c:v>
                </c:pt>
                <c:pt idx="257">
                  <c:v>44824</c:v>
                </c:pt>
                <c:pt idx="258">
                  <c:v>44825</c:v>
                </c:pt>
                <c:pt idx="259">
                  <c:v>44826</c:v>
                </c:pt>
                <c:pt idx="260">
                  <c:v>44827</c:v>
                </c:pt>
                <c:pt idx="261">
                  <c:v>44830</c:v>
                </c:pt>
                <c:pt idx="262">
                  <c:v>44831</c:v>
                </c:pt>
                <c:pt idx="263">
                  <c:v>44832</c:v>
                </c:pt>
                <c:pt idx="264">
                  <c:v>44833</c:v>
                </c:pt>
                <c:pt idx="265">
                  <c:v>44834</c:v>
                </c:pt>
                <c:pt idx="266">
                  <c:v>44837</c:v>
                </c:pt>
                <c:pt idx="267">
                  <c:v>44838</c:v>
                </c:pt>
                <c:pt idx="268">
                  <c:v>44840</c:v>
                </c:pt>
                <c:pt idx="269">
                  <c:v>44841</c:v>
                </c:pt>
                <c:pt idx="270">
                  <c:v>44844</c:v>
                </c:pt>
                <c:pt idx="271">
                  <c:v>44845</c:v>
                </c:pt>
                <c:pt idx="272">
                  <c:v>44846</c:v>
                </c:pt>
                <c:pt idx="273">
                  <c:v>44847</c:v>
                </c:pt>
                <c:pt idx="274">
                  <c:v>44848</c:v>
                </c:pt>
                <c:pt idx="275">
                  <c:v>44851</c:v>
                </c:pt>
                <c:pt idx="276">
                  <c:v>44852</c:v>
                </c:pt>
                <c:pt idx="277">
                  <c:v>44853</c:v>
                </c:pt>
                <c:pt idx="278">
                  <c:v>44854</c:v>
                </c:pt>
                <c:pt idx="279">
                  <c:v>44855</c:v>
                </c:pt>
                <c:pt idx="280">
                  <c:v>44858</c:v>
                </c:pt>
                <c:pt idx="281">
                  <c:v>44859</c:v>
                </c:pt>
                <c:pt idx="282">
                  <c:v>44861</c:v>
                </c:pt>
                <c:pt idx="283">
                  <c:v>44862</c:v>
                </c:pt>
                <c:pt idx="284">
                  <c:v>44865</c:v>
                </c:pt>
                <c:pt idx="285">
                  <c:v>44866</c:v>
                </c:pt>
                <c:pt idx="286">
                  <c:v>44867</c:v>
                </c:pt>
                <c:pt idx="287">
                  <c:v>44868</c:v>
                </c:pt>
                <c:pt idx="288">
                  <c:v>44869</c:v>
                </c:pt>
                <c:pt idx="289">
                  <c:v>44872</c:v>
                </c:pt>
                <c:pt idx="290">
                  <c:v>44874</c:v>
                </c:pt>
                <c:pt idx="291">
                  <c:v>44875</c:v>
                </c:pt>
                <c:pt idx="292">
                  <c:v>44876</c:v>
                </c:pt>
                <c:pt idx="293">
                  <c:v>44879</c:v>
                </c:pt>
                <c:pt idx="294">
                  <c:v>44880</c:v>
                </c:pt>
                <c:pt idx="295">
                  <c:v>44881</c:v>
                </c:pt>
                <c:pt idx="296">
                  <c:v>44882</c:v>
                </c:pt>
                <c:pt idx="297">
                  <c:v>44883</c:v>
                </c:pt>
                <c:pt idx="298">
                  <c:v>44886</c:v>
                </c:pt>
                <c:pt idx="299">
                  <c:v>44887</c:v>
                </c:pt>
                <c:pt idx="300">
                  <c:v>44888</c:v>
                </c:pt>
                <c:pt idx="301">
                  <c:v>44889</c:v>
                </c:pt>
                <c:pt idx="302">
                  <c:v>44890</c:v>
                </c:pt>
                <c:pt idx="303">
                  <c:v>44893</c:v>
                </c:pt>
                <c:pt idx="304">
                  <c:v>44894</c:v>
                </c:pt>
                <c:pt idx="305">
                  <c:v>44895</c:v>
                </c:pt>
                <c:pt idx="306">
                  <c:v>44896</c:v>
                </c:pt>
                <c:pt idx="307">
                  <c:v>44897</c:v>
                </c:pt>
                <c:pt idx="308">
                  <c:v>44900</c:v>
                </c:pt>
                <c:pt idx="309">
                  <c:v>44901</c:v>
                </c:pt>
                <c:pt idx="310">
                  <c:v>44902</c:v>
                </c:pt>
                <c:pt idx="311">
                  <c:v>44903</c:v>
                </c:pt>
                <c:pt idx="312">
                  <c:v>44904</c:v>
                </c:pt>
                <c:pt idx="313">
                  <c:v>44907</c:v>
                </c:pt>
                <c:pt idx="314">
                  <c:v>44908</c:v>
                </c:pt>
                <c:pt idx="315">
                  <c:v>44909</c:v>
                </c:pt>
                <c:pt idx="316">
                  <c:v>44910</c:v>
                </c:pt>
                <c:pt idx="317">
                  <c:v>44911</c:v>
                </c:pt>
                <c:pt idx="318">
                  <c:v>44914</c:v>
                </c:pt>
                <c:pt idx="319">
                  <c:v>44915</c:v>
                </c:pt>
                <c:pt idx="320">
                  <c:v>44916</c:v>
                </c:pt>
                <c:pt idx="321">
                  <c:v>44917</c:v>
                </c:pt>
                <c:pt idx="322">
                  <c:v>44918</c:v>
                </c:pt>
                <c:pt idx="323">
                  <c:v>44921</c:v>
                </c:pt>
                <c:pt idx="324">
                  <c:v>44922</c:v>
                </c:pt>
                <c:pt idx="325">
                  <c:v>44923</c:v>
                </c:pt>
                <c:pt idx="326">
                  <c:v>44924</c:v>
                </c:pt>
                <c:pt idx="327">
                  <c:v>44925</c:v>
                </c:pt>
                <c:pt idx="328">
                  <c:v>44928</c:v>
                </c:pt>
                <c:pt idx="329">
                  <c:v>44929</c:v>
                </c:pt>
                <c:pt idx="330">
                  <c:v>44930</c:v>
                </c:pt>
                <c:pt idx="331">
                  <c:v>44931</c:v>
                </c:pt>
                <c:pt idx="332">
                  <c:v>44932</c:v>
                </c:pt>
                <c:pt idx="333">
                  <c:v>44935</c:v>
                </c:pt>
                <c:pt idx="334">
                  <c:v>44936</c:v>
                </c:pt>
                <c:pt idx="335">
                  <c:v>44937</c:v>
                </c:pt>
                <c:pt idx="336">
                  <c:v>44938</c:v>
                </c:pt>
                <c:pt idx="337">
                  <c:v>44939</c:v>
                </c:pt>
                <c:pt idx="338">
                  <c:v>44942</c:v>
                </c:pt>
                <c:pt idx="339">
                  <c:v>44943</c:v>
                </c:pt>
                <c:pt idx="340">
                  <c:v>44944</c:v>
                </c:pt>
                <c:pt idx="341">
                  <c:v>44945</c:v>
                </c:pt>
                <c:pt idx="342">
                  <c:v>44946</c:v>
                </c:pt>
                <c:pt idx="343">
                  <c:v>44949</c:v>
                </c:pt>
                <c:pt idx="344">
                  <c:v>44950</c:v>
                </c:pt>
                <c:pt idx="345">
                  <c:v>44951</c:v>
                </c:pt>
                <c:pt idx="346">
                  <c:v>44953</c:v>
                </c:pt>
                <c:pt idx="347">
                  <c:v>44956</c:v>
                </c:pt>
                <c:pt idx="348">
                  <c:v>44957</c:v>
                </c:pt>
                <c:pt idx="349">
                  <c:v>44958</c:v>
                </c:pt>
                <c:pt idx="350">
                  <c:v>44959</c:v>
                </c:pt>
                <c:pt idx="351">
                  <c:v>44960</c:v>
                </c:pt>
                <c:pt idx="352">
                  <c:v>44963</c:v>
                </c:pt>
                <c:pt idx="353">
                  <c:v>44964</c:v>
                </c:pt>
                <c:pt idx="354">
                  <c:v>44965</c:v>
                </c:pt>
                <c:pt idx="355">
                  <c:v>44966</c:v>
                </c:pt>
                <c:pt idx="356">
                  <c:v>44967</c:v>
                </c:pt>
                <c:pt idx="357">
                  <c:v>44970</c:v>
                </c:pt>
                <c:pt idx="358">
                  <c:v>44971</c:v>
                </c:pt>
                <c:pt idx="359">
                  <c:v>44972</c:v>
                </c:pt>
                <c:pt idx="360">
                  <c:v>44973</c:v>
                </c:pt>
                <c:pt idx="361">
                  <c:v>44974</c:v>
                </c:pt>
                <c:pt idx="362">
                  <c:v>44977</c:v>
                </c:pt>
                <c:pt idx="363">
                  <c:v>44978</c:v>
                </c:pt>
                <c:pt idx="364">
                  <c:v>44979</c:v>
                </c:pt>
                <c:pt idx="365">
                  <c:v>44980</c:v>
                </c:pt>
                <c:pt idx="366">
                  <c:v>44981</c:v>
                </c:pt>
                <c:pt idx="367">
                  <c:v>44984</c:v>
                </c:pt>
                <c:pt idx="368">
                  <c:v>44985</c:v>
                </c:pt>
                <c:pt idx="369">
                  <c:v>44986</c:v>
                </c:pt>
                <c:pt idx="370">
                  <c:v>44987</c:v>
                </c:pt>
                <c:pt idx="371">
                  <c:v>44988</c:v>
                </c:pt>
                <c:pt idx="372">
                  <c:v>44991</c:v>
                </c:pt>
                <c:pt idx="373">
                  <c:v>44993</c:v>
                </c:pt>
                <c:pt idx="374">
                  <c:v>44994</c:v>
                </c:pt>
                <c:pt idx="375">
                  <c:v>44995</c:v>
                </c:pt>
                <c:pt idx="376">
                  <c:v>44998</c:v>
                </c:pt>
                <c:pt idx="377">
                  <c:v>44999</c:v>
                </c:pt>
                <c:pt idx="378">
                  <c:v>45000</c:v>
                </c:pt>
                <c:pt idx="379">
                  <c:v>45001</c:v>
                </c:pt>
                <c:pt idx="380">
                  <c:v>45002</c:v>
                </c:pt>
                <c:pt idx="381">
                  <c:v>45005</c:v>
                </c:pt>
                <c:pt idx="382">
                  <c:v>45006</c:v>
                </c:pt>
                <c:pt idx="383">
                  <c:v>45007</c:v>
                </c:pt>
                <c:pt idx="384">
                  <c:v>45008</c:v>
                </c:pt>
                <c:pt idx="385">
                  <c:v>45009</c:v>
                </c:pt>
                <c:pt idx="386">
                  <c:v>45012</c:v>
                </c:pt>
                <c:pt idx="387">
                  <c:v>45013</c:v>
                </c:pt>
                <c:pt idx="388">
                  <c:v>45014</c:v>
                </c:pt>
                <c:pt idx="389">
                  <c:v>45016</c:v>
                </c:pt>
                <c:pt idx="390">
                  <c:v>45019</c:v>
                </c:pt>
                <c:pt idx="391">
                  <c:v>45021</c:v>
                </c:pt>
                <c:pt idx="392">
                  <c:v>45022</c:v>
                </c:pt>
                <c:pt idx="393">
                  <c:v>45026</c:v>
                </c:pt>
                <c:pt idx="394">
                  <c:v>45027</c:v>
                </c:pt>
                <c:pt idx="395">
                  <c:v>45028</c:v>
                </c:pt>
                <c:pt idx="396">
                  <c:v>45029</c:v>
                </c:pt>
                <c:pt idx="397">
                  <c:v>45033</c:v>
                </c:pt>
                <c:pt idx="398">
                  <c:v>45034</c:v>
                </c:pt>
                <c:pt idx="399">
                  <c:v>45035</c:v>
                </c:pt>
                <c:pt idx="400">
                  <c:v>45036</c:v>
                </c:pt>
                <c:pt idx="401">
                  <c:v>45037</c:v>
                </c:pt>
                <c:pt idx="402">
                  <c:v>45040</c:v>
                </c:pt>
                <c:pt idx="403">
                  <c:v>45041</c:v>
                </c:pt>
                <c:pt idx="404">
                  <c:v>45042</c:v>
                </c:pt>
                <c:pt idx="405">
                  <c:v>45043</c:v>
                </c:pt>
                <c:pt idx="406">
                  <c:v>45044</c:v>
                </c:pt>
                <c:pt idx="407">
                  <c:v>45048</c:v>
                </c:pt>
                <c:pt idx="408">
                  <c:v>45049</c:v>
                </c:pt>
                <c:pt idx="409">
                  <c:v>45050</c:v>
                </c:pt>
                <c:pt idx="410">
                  <c:v>45051</c:v>
                </c:pt>
                <c:pt idx="411">
                  <c:v>45054</c:v>
                </c:pt>
                <c:pt idx="412">
                  <c:v>45055</c:v>
                </c:pt>
                <c:pt idx="413">
                  <c:v>45056</c:v>
                </c:pt>
                <c:pt idx="414">
                  <c:v>45057</c:v>
                </c:pt>
                <c:pt idx="415">
                  <c:v>45058</c:v>
                </c:pt>
                <c:pt idx="416">
                  <c:v>45061</c:v>
                </c:pt>
                <c:pt idx="417">
                  <c:v>45062</c:v>
                </c:pt>
                <c:pt idx="418">
                  <c:v>45063</c:v>
                </c:pt>
                <c:pt idx="419">
                  <c:v>45064</c:v>
                </c:pt>
                <c:pt idx="420">
                  <c:v>45065</c:v>
                </c:pt>
                <c:pt idx="421">
                  <c:v>45068</c:v>
                </c:pt>
                <c:pt idx="422">
                  <c:v>45069</c:v>
                </c:pt>
                <c:pt idx="423">
                  <c:v>45070</c:v>
                </c:pt>
                <c:pt idx="424">
                  <c:v>45071</c:v>
                </c:pt>
                <c:pt idx="425">
                  <c:v>45072</c:v>
                </c:pt>
                <c:pt idx="426">
                  <c:v>45075</c:v>
                </c:pt>
                <c:pt idx="427">
                  <c:v>45076</c:v>
                </c:pt>
                <c:pt idx="428">
                  <c:v>45077</c:v>
                </c:pt>
                <c:pt idx="429">
                  <c:v>45078</c:v>
                </c:pt>
                <c:pt idx="430">
                  <c:v>45079</c:v>
                </c:pt>
                <c:pt idx="431">
                  <c:v>45082</c:v>
                </c:pt>
                <c:pt idx="432">
                  <c:v>45083</c:v>
                </c:pt>
                <c:pt idx="433">
                  <c:v>45084</c:v>
                </c:pt>
                <c:pt idx="434">
                  <c:v>45085</c:v>
                </c:pt>
                <c:pt idx="435">
                  <c:v>45086</c:v>
                </c:pt>
                <c:pt idx="436">
                  <c:v>45089</c:v>
                </c:pt>
                <c:pt idx="437">
                  <c:v>45090</c:v>
                </c:pt>
                <c:pt idx="438">
                  <c:v>45091</c:v>
                </c:pt>
                <c:pt idx="439">
                  <c:v>45092</c:v>
                </c:pt>
                <c:pt idx="440">
                  <c:v>45093</c:v>
                </c:pt>
                <c:pt idx="441">
                  <c:v>45096</c:v>
                </c:pt>
                <c:pt idx="442">
                  <c:v>45097</c:v>
                </c:pt>
                <c:pt idx="443">
                  <c:v>45098</c:v>
                </c:pt>
                <c:pt idx="444">
                  <c:v>45099</c:v>
                </c:pt>
                <c:pt idx="445">
                  <c:v>45100</c:v>
                </c:pt>
                <c:pt idx="446">
                  <c:v>45103</c:v>
                </c:pt>
                <c:pt idx="447">
                  <c:v>45104</c:v>
                </c:pt>
                <c:pt idx="448">
                  <c:v>45105</c:v>
                </c:pt>
                <c:pt idx="449">
                  <c:v>45107</c:v>
                </c:pt>
                <c:pt idx="450">
                  <c:v>45110</c:v>
                </c:pt>
                <c:pt idx="451">
                  <c:v>45111</c:v>
                </c:pt>
                <c:pt idx="452">
                  <c:v>45112</c:v>
                </c:pt>
                <c:pt idx="453">
                  <c:v>45113</c:v>
                </c:pt>
                <c:pt idx="454">
                  <c:v>45114</c:v>
                </c:pt>
                <c:pt idx="455">
                  <c:v>45117</c:v>
                </c:pt>
                <c:pt idx="456">
                  <c:v>45118</c:v>
                </c:pt>
                <c:pt idx="457">
                  <c:v>45119</c:v>
                </c:pt>
                <c:pt idx="458">
                  <c:v>45120</c:v>
                </c:pt>
                <c:pt idx="459">
                  <c:v>45121</c:v>
                </c:pt>
                <c:pt idx="460">
                  <c:v>45124</c:v>
                </c:pt>
                <c:pt idx="461">
                  <c:v>45125</c:v>
                </c:pt>
                <c:pt idx="462">
                  <c:v>45126</c:v>
                </c:pt>
                <c:pt idx="463">
                  <c:v>45127</c:v>
                </c:pt>
                <c:pt idx="464">
                  <c:v>45128</c:v>
                </c:pt>
                <c:pt idx="465">
                  <c:v>45131</c:v>
                </c:pt>
                <c:pt idx="466">
                  <c:v>45132</c:v>
                </c:pt>
                <c:pt idx="467">
                  <c:v>45133</c:v>
                </c:pt>
                <c:pt idx="468">
                  <c:v>45134</c:v>
                </c:pt>
                <c:pt idx="469">
                  <c:v>45135</c:v>
                </c:pt>
                <c:pt idx="470">
                  <c:v>45138</c:v>
                </c:pt>
                <c:pt idx="471">
                  <c:v>45139</c:v>
                </c:pt>
                <c:pt idx="472">
                  <c:v>45140</c:v>
                </c:pt>
                <c:pt idx="473">
                  <c:v>45141</c:v>
                </c:pt>
                <c:pt idx="474">
                  <c:v>45142</c:v>
                </c:pt>
                <c:pt idx="475">
                  <c:v>45145</c:v>
                </c:pt>
                <c:pt idx="476">
                  <c:v>45146</c:v>
                </c:pt>
                <c:pt idx="477">
                  <c:v>45147</c:v>
                </c:pt>
                <c:pt idx="478">
                  <c:v>45148</c:v>
                </c:pt>
                <c:pt idx="479">
                  <c:v>45149</c:v>
                </c:pt>
                <c:pt idx="480">
                  <c:v>45152</c:v>
                </c:pt>
                <c:pt idx="481">
                  <c:v>45154</c:v>
                </c:pt>
                <c:pt idx="482">
                  <c:v>45155</c:v>
                </c:pt>
                <c:pt idx="483">
                  <c:v>45156</c:v>
                </c:pt>
                <c:pt idx="484">
                  <c:v>45159</c:v>
                </c:pt>
                <c:pt idx="485">
                  <c:v>45160</c:v>
                </c:pt>
                <c:pt idx="486">
                  <c:v>45161</c:v>
                </c:pt>
                <c:pt idx="487">
                  <c:v>45162</c:v>
                </c:pt>
                <c:pt idx="488">
                  <c:v>45163</c:v>
                </c:pt>
                <c:pt idx="489">
                  <c:v>45166</c:v>
                </c:pt>
                <c:pt idx="490">
                  <c:v>45167</c:v>
                </c:pt>
                <c:pt idx="491">
                  <c:v>45168</c:v>
                </c:pt>
                <c:pt idx="492">
                  <c:v>45169</c:v>
                </c:pt>
                <c:pt idx="493">
                  <c:v>45170</c:v>
                </c:pt>
                <c:pt idx="494">
                  <c:v>45173</c:v>
                </c:pt>
                <c:pt idx="495">
                  <c:v>45174</c:v>
                </c:pt>
                <c:pt idx="496">
                  <c:v>45175</c:v>
                </c:pt>
                <c:pt idx="497">
                  <c:v>45176</c:v>
                </c:pt>
                <c:pt idx="498">
                  <c:v>45177</c:v>
                </c:pt>
                <c:pt idx="499">
                  <c:v>45180</c:v>
                </c:pt>
                <c:pt idx="500">
                  <c:v>45181</c:v>
                </c:pt>
                <c:pt idx="501">
                  <c:v>45182</c:v>
                </c:pt>
                <c:pt idx="502">
                  <c:v>45183</c:v>
                </c:pt>
                <c:pt idx="503">
                  <c:v>45184</c:v>
                </c:pt>
                <c:pt idx="504">
                  <c:v>45187</c:v>
                </c:pt>
                <c:pt idx="505">
                  <c:v>45189</c:v>
                </c:pt>
                <c:pt idx="506">
                  <c:v>45190</c:v>
                </c:pt>
                <c:pt idx="507">
                  <c:v>45191</c:v>
                </c:pt>
                <c:pt idx="508">
                  <c:v>45194</c:v>
                </c:pt>
                <c:pt idx="509">
                  <c:v>45195</c:v>
                </c:pt>
                <c:pt idx="510">
                  <c:v>45196</c:v>
                </c:pt>
                <c:pt idx="511">
                  <c:v>45197</c:v>
                </c:pt>
                <c:pt idx="512">
                  <c:v>45198</c:v>
                </c:pt>
                <c:pt idx="513">
                  <c:v>45202</c:v>
                </c:pt>
                <c:pt idx="514">
                  <c:v>45203</c:v>
                </c:pt>
                <c:pt idx="515">
                  <c:v>45204</c:v>
                </c:pt>
                <c:pt idx="516">
                  <c:v>45205</c:v>
                </c:pt>
                <c:pt idx="517">
                  <c:v>45208</c:v>
                </c:pt>
                <c:pt idx="518">
                  <c:v>45209</c:v>
                </c:pt>
                <c:pt idx="519">
                  <c:v>45210</c:v>
                </c:pt>
                <c:pt idx="520">
                  <c:v>45211</c:v>
                </c:pt>
                <c:pt idx="521">
                  <c:v>45212</c:v>
                </c:pt>
                <c:pt idx="522">
                  <c:v>45215</c:v>
                </c:pt>
                <c:pt idx="523">
                  <c:v>45216</c:v>
                </c:pt>
                <c:pt idx="524">
                  <c:v>45217</c:v>
                </c:pt>
                <c:pt idx="525">
                  <c:v>45218</c:v>
                </c:pt>
                <c:pt idx="526">
                  <c:v>45219</c:v>
                </c:pt>
                <c:pt idx="527">
                  <c:v>45222</c:v>
                </c:pt>
                <c:pt idx="528">
                  <c:v>45224</c:v>
                </c:pt>
                <c:pt idx="529">
                  <c:v>45225</c:v>
                </c:pt>
                <c:pt idx="530">
                  <c:v>45226</c:v>
                </c:pt>
                <c:pt idx="531">
                  <c:v>45229</c:v>
                </c:pt>
                <c:pt idx="532">
                  <c:v>45230</c:v>
                </c:pt>
                <c:pt idx="533">
                  <c:v>45231</c:v>
                </c:pt>
                <c:pt idx="534">
                  <c:v>45232</c:v>
                </c:pt>
                <c:pt idx="535">
                  <c:v>45233</c:v>
                </c:pt>
                <c:pt idx="536">
                  <c:v>45236</c:v>
                </c:pt>
                <c:pt idx="537">
                  <c:v>45237</c:v>
                </c:pt>
                <c:pt idx="538">
                  <c:v>45238</c:v>
                </c:pt>
                <c:pt idx="539">
                  <c:v>45239</c:v>
                </c:pt>
                <c:pt idx="540">
                  <c:v>45240</c:v>
                </c:pt>
                <c:pt idx="541">
                  <c:v>45243</c:v>
                </c:pt>
                <c:pt idx="542">
                  <c:v>45245</c:v>
                </c:pt>
                <c:pt idx="543">
                  <c:v>45246</c:v>
                </c:pt>
                <c:pt idx="544">
                  <c:v>45247</c:v>
                </c:pt>
                <c:pt idx="545">
                  <c:v>45250</c:v>
                </c:pt>
                <c:pt idx="546">
                  <c:v>45251</c:v>
                </c:pt>
                <c:pt idx="547">
                  <c:v>45252</c:v>
                </c:pt>
                <c:pt idx="548">
                  <c:v>45253</c:v>
                </c:pt>
                <c:pt idx="549">
                  <c:v>45254</c:v>
                </c:pt>
                <c:pt idx="550">
                  <c:v>45258</c:v>
                </c:pt>
                <c:pt idx="551">
                  <c:v>45259</c:v>
                </c:pt>
                <c:pt idx="552">
                  <c:v>45260</c:v>
                </c:pt>
                <c:pt idx="553">
                  <c:v>45261</c:v>
                </c:pt>
                <c:pt idx="554">
                  <c:v>45264</c:v>
                </c:pt>
                <c:pt idx="555">
                  <c:v>45265</c:v>
                </c:pt>
                <c:pt idx="556">
                  <c:v>45266</c:v>
                </c:pt>
                <c:pt idx="557">
                  <c:v>45267</c:v>
                </c:pt>
                <c:pt idx="558">
                  <c:v>45268</c:v>
                </c:pt>
                <c:pt idx="559">
                  <c:v>45271</c:v>
                </c:pt>
                <c:pt idx="560">
                  <c:v>45272</c:v>
                </c:pt>
                <c:pt idx="561">
                  <c:v>45273</c:v>
                </c:pt>
                <c:pt idx="562">
                  <c:v>45274</c:v>
                </c:pt>
                <c:pt idx="563">
                  <c:v>45275</c:v>
                </c:pt>
                <c:pt idx="564">
                  <c:v>45278</c:v>
                </c:pt>
                <c:pt idx="565">
                  <c:v>45279</c:v>
                </c:pt>
                <c:pt idx="566">
                  <c:v>45280</c:v>
                </c:pt>
                <c:pt idx="567">
                  <c:v>45281</c:v>
                </c:pt>
                <c:pt idx="568">
                  <c:v>45282</c:v>
                </c:pt>
                <c:pt idx="569">
                  <c:v>45286</c:v>
                </c:pt>
                <c:pt idx="570">
                  <c:v>45287</c:v>
                </c:pt>
                <c:pt idx="571">
                  <c:v>45288</c:v>
                </c:pt>
                <c:pt idx="572">
                  <c:v>45289</c:v>
                </c:pt>
                <c:pt idx="573">
                  <c:v>45292</c:v>
                </c:pt>
                <c:pt idx="574">
                  <c:v>45293</c:v>
                </c:pt>
                <c:pt idx="575">
                  <c:v>45294</c:v>
                </c:pt>
                <c:pt idx="576">
                  <c:v>45295</c:v>
                </c:pt>
                <c:pt idx="577">
                  <c:v>45296</c:v>
                </c:pt>
                <c:pt idx="578">
                  <c:v>45299</c:v>
                </c:pt>
                <c:pt idx="579">
                  <c:v>45300</c:v>
                </c:pt>
                <c:pt idx="580">
                  <c:v>45301</c:v>
                </c:pt>
                <c:pt idx="581">
                  <c:v>45302</c:v>
                </c:pt>
                <c:pt idx="582">
                  <c:v>45303</c:v>
                </c:pt>
                <c:pt idx="583">
                  <c:v>45306</c:v>
                </c:pt>
                <c:pt idx="584">
                  <c:v>45307</c:v>
                </c:pt>
                <c:pt idx="585">
                  <c:v>45308</c:v>
                </c:pt>
                <c:pt idx="586">
                  <c:v>45309</c:v>
                </c:pt>
                <c:pt idx="587">
                  <c:v>45310</c:v>
                </c:pt>
                <c:pt idx="588">
                  <c:v>45314</c:v>
                </c:pt>
                <c:pt idx="589">
                  <c:v>45315</c:v>
                </c:pt>
                <c:pt idx="590">
                  <c:v>45316</c:v>
                </c:pt>
                <c:pt idx="591">
                  <c:v>45320</c:v>
                </c:pt>
                <c:pt idx="592">
                  <c:v>45321</c:v>
                </c:pt>
                <c:pt idx="593">
                  <c:v>45322</c:v>
                </c:pt>
                <c:pt idx="594">
                  <c:v>45323</c:v>
                </c:pt>
                <c:pt idx="595">
                  <c:v>45324</c:v>
                </c:pt>
                <c:pt idx="596">
                  <c:v>45327</c:v>
                </c:pt>
                <c:pt idx="597">
                  <c:v>45328</c:v>
                </c:pt>
                <c:pt idx="598">
                  <c:v>45329</c:v>
                </c:pt>
                <c:pt idx="599">
                  <c:v>45330</c:v>
                </c:pt>
                <c:pt idx="600">
                  <c:v>45331</c:v>
                </c:pt>
                <c:pt idx="601">
                  <c:v>45334</c:v>
                </c:pt>
                <c:pt idx="602">
                  <c:v>45335</c:v>
                </c:pt>
                <c:pt idx="603">
                  <c:v>45336</c:v>
                </c:pt>
                <c:pt idx="604">
                  <c:v>45337</c:v>
                </c:pt>
                <c:pt idx="605">
                  <c:v>45338</c:v>
                </c:pt>
                <c:pt idx="606">
                  <c:v>45341</c:v>
                </c:pt>
                <c:pt idx="607">
                  <c:v>45342</c:v>
                </c:pt>
                <c:pt idx="608">
                  <c:v>45343</c:v>
                </c:pt>
                <c:pt idx="609">
                  <c:v>45344</c:v>
                </c:pt>
                <c:pt idx="610">
                  <c:v>45345</c:v>
                </c:pt>
                <c:pt idx="611">
                  <c:v>45348</c:v>
                </c:pt>
                <c:pt idx="612">
                  <c:v>45349</c:v>
                </c:pt>
                <c:pt idx="613">
                  <c:v>45350</c:v>
                </c:pt>
                <c:pt idx="614">
                  <c:v>45351</c:v>
                </c:pt>
                <c:pt idx="615">
                  <c:v>45352</c:v>
                </c:pt>
                <c:pt idx="616">
                  <c:v>45355</c:v>
                </c:pt>
                <c:pt idx="617">
                  <c:v>45356</c:v>
                </c:pt>
                <c:pt idx="618">
                  <c:v>45357</c:v>
                </c:pt>
                <c:pt idx="619">
                  <c:v>45358</c:v>
                </c:pt>
                <c:pt idx="620">
                  <c:v>45362</c:v>
                </c:pt>
                <c:pt idx="621">
                  <c:v>45363</c:v>
                </c:pt>
                <c:pt idx="622">
                  <c:v>45364</c:v>
                </c:pt>
                <c:pt idx="623">
                  <c:v>45365</c:v>
                </c:pt>
                <c:pt idx="624">
                  <c:v>45369</c:v>
                </c:pt>
                <c:pt idx="625">
                  <c:v>45370</c:v>
                </c:pt>
                <c:pt idx="626">
                  <c:v>45371</c:v>
                </c:pt>
                <c:pt idx="627">
                  <c:v>45372</c:v>
                </c:pt>
                <c:pt idx="628">
                  <c:v>45373</c:v>
                </c:pt>
                <c:pt idx="629">
                  <c:v>45377</c:v>
                </c:pt>
                <c:pt idx="630">
                  <c:v>45378</c:v>
                </c:pt>
                <c:pt idx="631">
                  <c:v>45379</c:v>
                </c:pt>
                <c:pt idx="632">
                  <c:v>45383</c:v>
                </c:pt>
                <c:pt idx="633">
                  <c:v>45384</c:v>
                </c:pt>
                <c:pt idx="634">
                  <c:v>45385</c:v>
                </c:pt>
                <c:pt idx="635">
                  <c:v>45386</c:v>
                </c:pt>
                <c:pt idx="636">
                  <c:v>45387</c:v>
                </c:pt>
                <c:pt idx="637">
                  <c:v>45390</c:v>
                </c:pt>
                <c:pt idx="638">
                  <c:v>45391</c:v>
                </c:pt>
                <c:pt idx="639">
                  <c:v>45392</c:v>
                </c:pt>
                <c:pt idx="640">
                  <c:v>45394</c:v>
                </c:pt>
                <c:pt idx="641">
                  <c:v>45397</c:v>
                </c:pt>
                <c:pt idx="642">
                  <c:v>45398</c:v>
                </c:pt>
                <c:pt idx="643">
                  <c:v>45400</c:v>
                </c:pt>
                <c:pt idx="644">
                  <c:v>45401</c:v>
                </c:pt>
                <c:pt idx="645">
                  <c:v>45404</c:v>
                </c:pt>
                <c:pt idx="646">
                  <c:v>45405</c:v>
                </c:pt>
                <c:pt idx="647">
                  <c:v>45406</c:v>
                </c:pt>
                <c:pt idx="648">
                  <c:v>45407</c:v>
                </c:pt>
                <c:pt idx="649">
                  <c:v>45408</c:v>
                </c:pt>
                <c:pt idx="650">
                  <c:v>45411</c:v>
                </c:pt>
                <c:pt idx="651">
                  <c:v>45412</c:v>
                </c:pt>
                <c:pt idx="652">
                  <c:v>45414</c:v>
                </c:pt>
                <c:pt idx="653">
                  <c:v>45415</c:v>
                </c:pt>
                <c:pt idx="654">
                  <c:v>45418</c:v>
                </c:pt>
                <c:pt idx="655">
                  <c:v>45419</c:v>
                </c:pt>
                <c:pt idx="656">
                  <c:v>45420</c:v>
                </c:pt>
                <c:pt idx="657">
                  <c:v>45421</c:v>
                </c:pt>
                <c:pt idx="658">
                  <c:v>45422</c:v>
                </c:pt>
                <c:pt idx="659">
                  <c:v>45425</c:v>
                </c:pt>
                <c:pt idx="660">
                  <c:v>45426</c:v>
                </c:pt>
                <c:pt idx="661">
                  <c:v>45427</c:v>
                </c:pt>
                <c:pt idx="662">
                  <c:v>45428</c:v>
                </c:pt>
                <c:pt idx="663">
                  <c:v>45429</c:v>
                </c:pt>
                <c:pt idx="664">
                  <c:v>45433</c:v>
                </c:pt>
                <c:pt idx="665">
                  <c:v>45434</c:v>
                </c:pt>
                <c:pt idx="666">
                  <c:v>45435</c:v>
                </c:pt>
                <c:pt idx="667">
                  <c:v>45436</c:v>
                </c:pt>
                <c:pt idx="668">
                  <c:v>45439</c:v>
                </c:pt>
                <c:pt idx="669">
                  <c:v>45440</c:v>
                </c:pt>
                <c:pt idx="670">
                  <c:v>45441</c:v>
                </c:pt>
                <c:pt idx="671">
                  <c:v>45442</c:v>
                </c:pt>
                <c:pt idx="672">
                  <c:v>45443</c:v>
                </c:pt>
                <c:pt idx="673">
                  <c:v>45446</c:v>
                </c:pt>
                <c:pt idx="674">
                  <c:v>45447</c:v>
                </c:pt>
                <c:pt idx="675">
                  <c:v>45448</c:v>
                </c:pt>
                <c:pt idx="676">
                  <c:v>45449</c:v>
                </c:pt>
                <c:pt idx="677">
                  <c:v>45450</c:v>
                </c:pt>
                <c:pt idx="678">
                  <c:v>45453</c:v>
                </c:pt>
                <c:pt idx="679">
                  <c:v>45454</c:v>
                </c:pt>
                <c:pt idx="680">
                  <c:v>45455</c:v>
                </c:pt>
                <c:pt idx="681">
                  <c:v>45456</c:v>
                </c:pt>
                <c:pt idx="682">
                  <c:v>45457</c:v>
                </c:pt>
                <c:pt idx="683">
                  <c:v>45461</c:v>
                </c:pt>
                <c:pt idx="684">
                  <c:v>45462</c:v>
                </c:pt>
                <c:pt idx="685">
                  <c:v>45463</c:v>
                </c:pt>
                <c:pt idx="686">
                  <c:v>45464</c:v>
                </c:pt>
                <c:pt idx="687">
                  <c:v>45467</c:v>
                </c:pt>
                <c:pt idx="688">
                  <c:v>45468</c:v>
                </c:pt>
                <c:pt idx="689">
                  <c:v>45469</c:v>
                </c:pt>
                <c:pt idx="690">
                  <c:v>45470</c:v>
                </c:pt>
                <c:pt idx="691">
                  <c:v>45471</c:v>
                </c:pt>
                <c:pt idx="692">
                  <c:v>45474</c:v>
                </c:pt>
                <c:pt idx="693">
                  <c:v>45475</c:v>
                </c:pt>
                <c:pt idx="694">
                  <c:v>45476</c:v>
                </c:pt>
                <c:pt idx="695">
                  <c:v>45477</c:v>
                </c:pt>
                <c:pt idx="696">
                  <c:v>45478</c:v>
                </c:pt>
                <c:pt idx="697">
                  <c:v>45481</c:v>
                </c:pt>
                <c:pt idx="698">
                  <c:v>45482</c:v>
                </c:pt>
                <c:pt idx="699">
                  <c:v>45483</c:v>
                </c:pt>
                <c:pt idx="700">
                  <c:v>45484</c:v>
                </c:pt>
                <c:pt idx="701">
                  <c:v>45485</c:v>
                </c:pt>
                <c:pt idx="702">
                  <c:v>45488</c:v>
                </c:pt>
                <c:pt idx="703">
                  <c:v>45489</c:v>
                </c:pt>
                <c:pt idx="704">
                  <c:v>45491</c:v>
                </c:pt>
                <c:pt idx="705">
                  <c:v>45492</c:v>
                </c:pt>
                <c:pt idx="706">
                  <c:v>45495</c:v>
                </c:pt>
                <c:pt idx="707">
                  <c:v>45496</c:v>
                </c:pt>
                <c:pt idx="708">
                  <c:v>45497</c:v>
                </c:pt>
                <c:pt idx="709">
                  <c:v>45498</c:v>
                </c:pt>
                <c:pt idx="710">
                  <c:v>45499</c:v>
                </c:pt>
                <c:pt idx="711">
                  <c:v>45502</c:v>
                </c:pt>
                <c:pt idx="712">
                  <c:v>45503</c:v>
                </c:pt>
                <c:pt idx="713">
                  <c:v>45504</c:v>
                </c:pt>
                <c:pt idx="714">
                  <c:v>45505</c:v>
                </c:pt>
                <c:pt idx="715">
                  <c:v>45506</c:v>
                </c:pt>
                <c:pt idx="716">
                  <c:v>45509</c:v>
                </c:pt>
                <c:pt idx="717">
                  <c:v>45510</c:v>
                </c:pt>
                <c:pt idx="718">
                  <c:v>45511</c:v>
                </c:pt>
                <c:pt idx="719">
                  <c:v>45512</c:v>
                </c:pt>
                <c:pt idx="720">
                  <c:v>45513</c:v>
                </c:pt>
                <c:pt idx="721">
                  <c:v>45516</c:v>
                </c:pt>
                <c:pt idx="722">
                  <c:v>45517</c:v>
                </c:pt>
                <c:pt idx="723">
                  <c:v>45518</c:v>
                </c:pt>
                <c:pt idx="724">
                  <c:v>45520</c:v>
                </c:pt>
                <c:pt idx="725">
                  <c:v>45523</c:v>
                </c:pt>
                <c:pt idx="726">
                  <c:v>45524</c:v>
                </c:pt>
                <c:pt idx="727">
                  <c:v>45525</c:v>
                </c:pt>
                <c:pt idx="728">
                  <c:v>45526</c:v>
                </c:pt>
                <c:pt idx="729">
                  <c:v>45527</c:v>
                </c:pt>
                <c:pt idx="730">
                  <c:v>45530</c:v>
                </c:pt>
                <c:pt idx="731">
                  <c:v>45531</c:v>
                </c:pt>
                <c:pt idx="732">
                  <c:v>45532</c:v>
                </c:pt>
                <c:pt idx="733">
                  <c:v>45533</c:v>
                </c:pt>
                <c:pt idx="734">
                  <c:v>45534</c:v>
                </c:pt>
                <c:pt idx="735">
                  <c:v>45537</c:v>
                </c:pt>
                <c:pt idx="736">
                  <c:v>45538</c:v>
                </c:pt>
                <c:pt idx="737">
                  <c:v>45539</c:v>
                </c:pt>
                <c:pt idx="738">
                  <c:v>45540</c:v>
                </c:pt>
                <c:pt idx="739">
                  <c:v>45541</c:v>
                </c:pt>
                <c:pt idx="740">
                  <c:v>45544</c:v>
                </c:pt>
                <c:pt idx="741">
                  <c:v>45545</c:v>
                </c:pt>
                <c:pt idx="742">
                  <c:v>45546</c:v>
                </c:pt>
                <c:pt idx="743">
                  <c:v>45547</c:v>
                </c:pt>
                <c:pt idx="744">
                  <c:v>45548</c:v>
                </c:pt>
                <c:pt idx="745">
                  <c:v>45551</c:v>
                </c:pt>
                <c:pt idx="746">
                  <c:v>45552</c:v>
                </c:pt>
                <c:pt idx="747">
                  <c:v>45553</c:v>
                </c:pt>
                <c:pt idx="748">
                  <c:v>45554</c:v>
                </c:pt>
                <c:pt idx="749">
                  <c:v>45555</c:v>
                </c:pt>
                <c:pt idx="750">
                  <c:v>45558</c:v>
                </c:pt>
                <c:pt idx="751">
                  <c:v>45559</c:v>
                </c:pt>
                <c:pt idx="752">
                  <c:v>45560</c:v>
                </c:pt>
                <c:pt idx="753">
                  <c:v>45561</c:v>
                </c:pt>
                <c:pt idx="754">
                  <c:v>45562</c:v>
                </c:pt>
                <c:pt idx="755">
                  <c:v>45565</c:v>
                </c:pt>
                <c:pt idx="756">
                  <c:v>45566</c:v>
                </c:pt>
                <c:pt idx="757">
                  <c:v>45568</c:v>
                </c:pt>
                <c:pt idx="758">
                  <c:v>45569</c:v>
                </c:pt>
                <c:pt idx="759">
                  <c:v>45572</c:v>
                </c:pt>
                <c:pt idx="760">
                  <c:v>45573</c:v>
                </c:pt>
                <c:pt idx="761">
                  <c:v>45574</c:v>
                </c:pt>
                <c:pt idx="762">
                  <c:v>45575</c:v>
                </c:pt>
                <c:pt idx="763">
                  <c:v>45576</c:v>
                </c:pt>
                <c:pt idx="764">
                  <c:v>45579</c:v>
                </c:pt>
                <c:pt idx="765">
                  <c:v>45580</c:v>
                </c:pt>
                <c:pt idx="766">
                  <c:v>45581</c:v>
                </c:pt>
                <c:pt idx="767">
                  <c:v>45582</c:v>
                </c:pt>
                <c:pt idx="768">
                  <c:v>45583</c:v>
                </c:pt>
                <c:pt idx="769">
                  <c:v>45586</c:v>
                </c:pt>
                <c:pt idx="770">
                  <c:v>45587</c:v>
                </c:pt>
                <c:pt idx="771">
                  <c:v>45588</c:v>
                </c:pt>
                <c:pt idx="772">
                  <c:v>45589</c:v>
                </c:pt>
                <c:pt idx="773">
                  <c:v>45590</c:v>
                </c:pt>
                <c:pt idx="774">
                  <c:v>45593</c:v>
                </c:pt>
                <c:pt idx="775">
                  <c:v>45594</c:v>
                </c:pt>
                <c:pt idx="776">
                  <c:v>45595</c:v>
                </c:pt>
                <c:pt idx="777">
                  <c:v>45596</c:v>
                </c:pt>
                <c:pt idx="778">
                  <c:v>45597</c:v>
                </c:pt>
                <c:pt idx="779">
                  <c:v>45600</c:v>
                </c:pt>
                <c:pt idx="780">
                  <c:v>45601</c:v>
                </c:pt>
                <c:pt idx="781">
                  <c:v>45602</c:v>
                </c:pt>
                <c:pt idx="782">
                  <c:v>45603</c:v>
                </c:pt>
                <c:pt idx="783">
                  <c:v>45604</c:v>
                </c:pt>
                <c:pt idx="784">
                  <c:v>45607</c:v>
                </c:pt>
                <c:pt idx="785">
                  <c:v>45608</c:v>
                </c:pt>
                <c:pt idx="786">
                  <c:v>45609</c:v>
                </c:pt>
                <c:pt idx="787">
                  <c:v>45610</c:v>
                </c:pt>
                <c:pt idx="788">
                  <c:v>45614</c:v>
                </c:pt>
                <c:pt idx="789">
                  <c:v>45615</c:v>
                </c:pt>
                <c:pt idx="790">
                  <c:v>45617</c:v>
                </c:pt>
                <c:pt idx="791">
                  <c:v>45618</c:v>
                </c:pt>
                <c:pt idx="792">
                  <c:v>45621</c:v>
                </c:pt>
                <c:pt idx="793">
                  <c:v>45622</c:v>
                </c:pt>
                <c:pt idx="794">
                  <c:v>45623</c:v>
                </c:pt>
                <c:pt idx="795">
                  <c:v>45624</c:v>
                </c:pt>
                <c:pt idx="796">
                  <c:v>45625</c:v>
                </c:pt>
                <c:pt idx="797">
                  <c:v>45628</c:v>
                </c:pt>
                <c:pt idx="798">
                  <c:v>45629</c:v>
                </c:pt>
                <c:pt idx="799">
                  <c:v>45630</c:v>
                </c:pt>
                <c:pt idx="800">
                  <c:v>45631</c:v>
                </c:pt>
                <c:pt idx="801">
                  <c:v>45632</c:v>
                </c:pt>
                <c:pt idx="802">
                  <c:v>45635</c:v>
                </c:pt>
                <c:pt idx="803">
                  <c:v>45636</c:v>
                </c:pt>
                <c:pt idx="804">
                  <c:v>45637</c:v>
                </c:pt>
                <c:pt idx="805">
                  <c:v>45638</c:v>
                </c:pt>
                <c:pt idx="806">
                  <c:v>45639</c:v>
                </c:pt>
                <c:pt idx="807">
                  <c:v>45642</c:v>
                </c:pt>
                <c:pt idx="808">
                  <c:v>45643</c:v>
                </c:pt>
                <c:pt idx="809">
                  <c:v>45644</c:v>
                </c:pt>
                <c:pt idx="810">
                  <c:v>45645</c:v>
                </c:pt>
                <c:pt idx="811">
                  <c:v>45646</c:v>
                </c:pt>
                <c:pt idx="812">
                  <c:v>45649</c:v>
                </c:pt>
                <c:pt idx="813">
                  <c:v>45650</c:v>
                </c:pt>
                <c:pt idx="814">
                  <c:v>45652</c:v>
                </c:pt>
                <c:pt idx="815">
                  <c:v>45653</c:v>
                </c:pt>
                <c:pt idx="816">
                  <c:v>45656</c:v>
                </c:pt>
                <c:pt idx="817">
                  <c:v>45657</c:v>
                </c:pt>
                <c:pt idx="818">
                  <c:v>45658</c:v>
                </c:pt>
                <c:pt idx="819">
                  <c:v>45659</c:v>
                </c:pt>
                <c:pt idx="820">
                  <c:v>45660</c:v>
                </c:pt>
                <c:pt idx="821">
                  <c:v>45663</c:v>
                </c:pt>
                <c:pt idx="822">
                  <c:v>45664</c:v>
                </c:pt>
                <c:pt idx="823">
                  <c:v>45665</c:v>
                </c:pt>
                <c:pt idx="824">
                  <c:v>45666</c:v>
                </c:pt>
                <c:pt idx="825">
                  <c:v>45667</c:v>
                </c:pt>
                <c:pt idx="826">
                  <c:v>45670</c:v>
                </c:pt>
                <c:pt idx="827">
                  <c:v>45671</c:v>
                </c:pt>
                <c:pt idx="828">
                  <c:v>45672</c:v>
                </c:pt>
                <c:pt idx="829">
                  <c:v>45673</c:v>
                </c:pt>
                <c:pt idx="830">
                  <c:v>45674</c:v>
                </c:pt>
                <c:pt idx="831">
                  <c:v>45677</c:v>
                </c:pt>
                <c:pt idx="832">
                  <c:v>45678</c:v>
                </c:pt>
                <c:pt idx="833">
                  <c:v>45679</c:v>
                </c:pt>
                <c:pt idx="834">
                  <c:v>45680</c:v>
                </c:pt>
                <c:pt idx="835">
                  <c:v>45681</c:v>
                </c:pt>
                <c:pt idx="836">
                  <c:v>45684</c:v>
                </c:pt>
                <c:pt idx="837">
                  <c:v>45685</c:v>
                </c:pt>
                <c:pt idx="838">
                  <c:v>45686</c:v>
                </c:pt>
                <c:pt idx="839">
                  <c:v>45687</c:v>
                </c:pt>
                <c:pt idx="840">
                  <c:v>45688</c:v>
                </c:pt>
                <c:pt idx="841">
                  <c:v>45691</c:v>
                </c:pt>
                <c:pt idx="842">
                  <c:v>45692</c:v>
                </c:pt>
                <c:pt idx="843">
                  <c:v>45693</c:v>
                </c:pt>
                <c:pt idx="844">
                  <c:v>45694</c:v>
                </c:pt>
                <c:pt idx="845">
                  <c:v>45695</c:v>
                </c:pt>
                <c:pt idx="846">
                  <c:v>45698</c:v>
                </c:pt>
                <c:pt idx="847">
                  <c:v>45699</c:v>
                </c:pt>
                <c:pt idx="848">
                  <c:v>45700</c:v>
                </c:pt>
                <c:pt idx="849">
                  <c:v>45701</c:v>
                </c:pt>
                <c:pt idx="850">
                  <c:v>45702</c:v>
                </c:pt>
                <c:pt idx="851">
                  <c:v>45705</c:v>
                </c:pt>
                <c:pt idx="852">
                  <c:v>45706</c:v>
                </c:pt>
                <c:pt idx="853">
                  <c:v>45707</c:v>
                </c:pt>
                <c:pt idx="854">
                  <c:v>45708</c:v>
                </c:pt>
                <c:pt idx="855">
                  <c:v>45709</c:v>
                </c:pt>
                <c:pt idx="856">
                  <c:v>45712</c:v>
                </c:pt>
                <c:pt idx="857">
                  <c:v>45713</c:v>
                </c:pt>
                <c:pt idx="858">
                  <c:v>45715</c:v>
                </c:pt>
                <c:pt idx="859">
                  <c:v>45716</c:v>
                </c:pt>
                <c:pt idx="860">
                  <c:v>45719</c:v>
                </c:pt>
                <c:pt idx="861">
                  <c:v>45720</c:v>
                </c:pt>
                <c:pt idx="862">
                  <c:v>45721</c:v>
                </c:pt>
                <c:pt idx="863">
                  <c:v>45722</c:v>
                </c:pt>
                <c:pt idx="864">
                  <c:v>45723</c:v>
                </c:pt>
                <c:pt idx="865">
                  <c:v>45726</c:v>
                </c:pt>
                <c:pt idx="866">
                  <c:v>45727</c:v>
                </c:pt>
                <c:pt idx="867">
                  <c:v>45728</c:v>
                </c:pt>
                <c:pt idx="868">
                  <c:v>45729</c:v>
                </c:pt>
                <c:pt idx="869">
                  <c:v>45733</c:v>
                </c:pt>
                <c:pt idx="870">
                  <c:v>45734</c:v>
                </c:pt>
                <c:pt idx="871">
                  <c:v>45735</c:v>
                </c:pt>
                <c:pt idx="872">
                  <c:v>45736</c:v>
                </c:pt>
                <c:pt idx="873">
                  <c:v>45737</c:v>
                </c:pt>
                <c:pt idx="874">
                  <c:v>45740</c:v>
                </c:pt>
                <c:pt idx="875">
                  <c:v>45741</c:v>
                </c:pt>
                <c:pt idx="876">
                  <c:v>45742</c:v>
                </c:pt>
                <c:pt idx="877">
                  <c:v>45743</c:v>
                </c:pt>
                <c:pt idx="878">
                  <c:v>45744</c:v>
                </c:pt>
                <c:pt idx="879">
                  <c:v>45748</c:v>
                </c:pt>
                <c:pt idx="880">
                  <c:v>45749</c:v>
                </c:pt>
                <c:pt idx="881">
                  <c:v>45750</c:v>
                </c:pt>
                <c:pt idx="882">
                  <c:v>45751</c:v>
                </c:pt>
                <c:pt idx="883">
                  <c:v>45754</c:v>
                </c:pt>
                <c:pt idx="884">
                  <c:v>45755</c:v>
                </c:pt>
                <c:pt idx="885">
                  <c:v>45756</c:v>
                </c:pt>
                <c:pt idx="886">
                  <c:v>45758</c:v>
                </c:pt>
                <c:pt idx="887">
                  <c:v>45762</c:v>
                </c:pt>
                <c:pt idx="888">
                  <c:v>45763</c:v>
                </c:pt>
                <c:pt idx="889">
                  <c:v>45764</c:v>
                </c:pt>
                <c:pt idx="890">
                  <c:v>45768</c:v>
                </c:pt>
                <c:pt idx="891">
                  <c:v>45769</c:v>
                </c:pt>
                <c:pt idx="892">
                  <c:v>45770</c:v>
                </c:pt>
                <c:pt idx="893">
                  <c:v>45771</c:v>
                </c:pt>
                <c:pt idx="894">
                  <c:v>45772</c:v>
                </c:pt>
                <c:pt idx="895">
                  <c:v>45775</c:v>
                </c:pt>
                <c:pt idx="896">
                  <c:v>45776</c:v>
                </c:pt>
                <c:pt idx="897">
                  <c:v>45777</c:v>
                </c:pt>
                <c:pt idx="898">
                  <c:v>45779</c:v>
                </c:pt>
                <c:pt idx="899">
                  <c:v>45782</c:v>
                </c:pt>
                <c:pt idx="900">
                  <c:v>45783</c:v>
                </c:pt>
                <c:pt idx="901">
                  <c:v>45784</c:v>
                </c:pt>
                <c:pt idx="902">
                  <c:v>45785</c:v>
                </c:pt>
                <c:pt idx="903">
                  <c:v>45786</c:v>
                </c:pt>
                <c:pt idx="904">
                  <c:v>45789</c:v>
                </c:pt>
                <c:pt idx="905">
                  <c:v>45790</c:v>
                </c:pt>
                <c:pt idx="906">
                  <c:v>45791</c:v>
                </c:pt>
                <c:pt idx="907">
                  <c:v>45792</c:v>
                </c:pt>
                <c:pt idx="908">
                  <c:v>45793</c:v>
                </c:pt>
                <c:pt idx="909">
                  <c:v>45796</c:v>
                </c:pt>
                <c:pt idx="910">
                  <c:v>45797</c:v>
                </c:pt>
                <c:pt idx="911">
                  <c:v>45798</c:v>
                </c:pt>
                <c:pt idx="912">
                  <c:v>45799</c:v>
                </c:pt>
                <c:pt idx="913">
                  <c:v>45800</c:v>
                </c:pt>
                <c:pt idx="914">
                  <c:v>45803</c:v>
                </c:pt>
                <c:pt idx="915">
                  <c:v>45804</c:v>
                </c:pt>
                <c:pt idx="916">
                  <c:v>45805</c:v>
                </c:pt>
                <c:pt idx="917">
                  <c:v>45806</c:v>
                </c:pt>
                <c:pt idx="918">
                  <c:v>45807</c:v>
                </c:pt>
                <c:pt idx="919">
                  <c:v>45810</c:v>
                </c:pt>
                <c:pt idx="920">
                  <c:v>45811</c:v>
                </c:pt>
                <c:pt idx="921">
                  <c:v>45812</c:v>
                </c:pt>
                <c:pt idx="922">
                  <c:v>45813</c:v>
                </c:pt>
                <c:pt idx="923">
                  <c:v>45814</c:v>
                </c:pt>
                <c:pt idx="924">
                  <c:v>45817</c:v>
                </c:pt>
                <c:pt idx="925">
                  <c:v>45818</c:v>
                </c:pt>
                <c:pt idx="926">
                  <c:v>45819</c:v>
                </c:pt>
                <c:pt idx="927">
                  <c:v>45820</c:v>
                </c:pt>
                <c:pt idx="928">
                  <c:v>45821</c:v>
                </c:pt>
                <c:pt idx="929">
                  <c:v>45824</c:v>
                </c:pt>
                <c:pt idx="930">
                  <c:v>45825</c:v>
                </c:pt>
                <c:pt idx="931">
                  <c:v>45826</c:v>
                </c:pt>
                <c:pt idx="932">
                  <c:v>45827</c:v>
                </c:pt>
                <c:pt idx="933">
                  <c:v>45828</c:v>
                </c:pt>
                <c:pt idx="934">
                  <c:v>45831</c:v>
                </c:pt>
                <c:pt idx="935">
                  <c:v>45832</c:v>
                </c:pt>
                <c:pt idx="936">
                  <c:v>45833</c:v>
                </c:pt>
                <c:pt idx="937">
                  <c:v>45834</c:v>
                </c:pt>
                <c:pt idx="938">
                  <c:v>45835</c:v>
                </c:pt>
                <c:pt idx="939">
                  <c:v>45838</c:v>
                </c:pt>
                <c:pt idx="940">
                  <c:v>45839</c:v>
                </c:pt>
                <c:pt idx="941">
                  <c:v>45840</c:v>
                </c:pt>
                <c:pt idx="942">
                  <c:v>45841</c:v>
                </c:pt>
                <c:pt idx="943">
                  <c:v>45842</c:v>
                </c:pt>
                <c:pt idx="944">
                  <c:v>45845</c:v>
                </c:pt>
                <c:pt idx="945">
                  <c:v>45846</c:v>
                </c:pt>
                <c:pt idx="946">
                  <c:v>45847</c:v>
                </c:pt>
                <c:pt idx="947">
                  <c:v>45848</c:v>
                </c:pt>
                <c:pt idx="948">
                  <c:v>45849</c:v>
                </c:pt>
                <c:pt idx="949">
                  <c:v>45852</c:v>
                </c:pt>
                <c:pt idx="950">
                  <c:v>45853</c:v>
                </c:pt>
                <c:pt idx="951">
                  <c:v>45854</c:v>
                </c:pt>
                <c:pt idx="952">
                  <c:v>45855</c:v>
                </c:pt>
                <c:pt idx="953">
                  <c:v>45856</c:v>
                </c:pt>
                <c:pt idx="954">
                  <c:v>45859</c:v>
                </c:pt>
                <c:pt idx="955">
                  <c:v>45860</c:v>
                </c:pt>
                <c:pt idx="956">
                  <c:v>45861</c:v>
                </c:pt>
                <c:pt idx="957">
                  <c:v>45862</c:v>
                </c:pt>
                <c:pt idx="958">
                  <c:v>45863</c:v>
                </c:pt>
                <c:pt idx="959">
                  <c:v>45866</c:v>
                </c:pt>
                <c:pt idx="960">
                  <c:v>45867</c:v>
                </c:pt>
                <c:pt idx="961">
                  <c:v>45868</c:v>
                </c:pt>
                <c:pt idx="962">
                  <c:v>45869</c:v>
                </c:pt>
                <c:pt idx="963">
                  <c:v>45870</c:v>
                </c:pt>
                <c:pt idx="964">
                  <c:v>45873</c:v>
                </c:pt>
                <c:pt idx="965">
                  <c:v>45874</c:v>
                </c:pt>
                <c:pt idx="966">
                  <c:v>45875</c:v>
                </c:pt>
                <c:pt idx="967">
                  <c:v>45876</c:v>
                </c:pt>
                <c:pt idx="968">
                  <c:v>45877</c:v>
                </c:pt>
                <c:pt idx="969">
                  <c:v>45880</c:v>
                </c:pt>
                <c:pt idx="970">
                  <c:v>45881</c:v>
                </c:pt>
                <c:pt idx="971">
                  <c:v>45882</c:v>
                </c:pt>
                <c:pt idx="972">
                  <c:v>45883</c:v>
                </c:pt>
                <c:pt idx="973">
                  <c:v>45887</c:v>
                </c:pt>
                <c:pt idx="974">
                  <c:v>45888</c:v>
                </c:pt>
                <c:pt idx="975">
                  <c:v>45889</c:v>
                </c:pt>
                <c:pt idx="976">
                  <c:v>45890</c:v>
                </c:pt>
                <c:pt idx="977">
                  <c:v>45891</c:v>
                </c:pt>
                <c:pt idx="978">
                  <c:v>45894</c:v>
                </c:pt>
                <c:pt idx="979">
                  <c:v>45895</c:v>
                </c:pt>
                <c:pt idx="980">
                  <c:v>45897</c:v>
                </c:pt>
                <c:pt idx="981">
                  <c:v>45898</c:v>
                </c:pt>
                <c:pt idx="982">
                  <c:v>45901</c:v>
                </c:pt>
                <c:pt idx="983">
                  <c:v>45902</c:v>
                </c:pt>
                <c:pt idx="984">
                  <c:v>45903</c:v>
                </c:pt>
                <c:pt idx="985">
                  <c:v>45904</c:v>
                </c:pt>
                <c:pt idx="986">
                  <c:v>45905</c:v>
                </c:pt>
                <c:pt idx="987">
                  <c:v>45908</c:v>
                </c:pt>
                <c:pt idx="988">
                  <c:v>45909</c:v>
                </c:pt>
                <c:pt idx="989">
                  <c:v>45910</c:v>
                </c:pt>
                <c:pt idx="990">
                  <c:v>45911</c:v>
                </c:pt>
                <c:pt idx="991">
                  <c:v>45912</c:v>
                </c:pt>
                <c:pt idx="992">
                  <c:v>45915</c:v>
                </c:pt>
                <c:pt idx="993">
                  <c:v>45916</c:v>
                </c:pt>
                <c:pt idx="994">
                  <c:v>45917</c:v>
                </c:pt>
                <c:pt idx="995">
                  <c:v>45918</c:v>
                </c:pt>
                <c:pt idx="996">
                  <c:v>45919</c:v>
                </c:pt>
                <c:pt idx="997">
                  <c:v>45922</c:v>
                </c:pt>
                <c:pt idx="998">
                  <c:v>45923</c:v>
                </c:pt>
                <c:pt idx="999">
                  <c:v>45924</c:v>
                </c:pt>
                <c:pt idx="1000">
                  <c:v>45925</c:v>
                </c:pt>
                <c:pt idx="1001">
                  <c:v>45926</c:v>
                </c:pt>
                <c:pt idx="1002">
                  <c:v>45929</c:v>
                </c:pt>
                <c:pt idx="1003">
                  <c:v>45930</c:v>
                </c:pt>
                <c:pt idx="1004">
                  <c:v>45931</c:v>
                </c:pt>
                <c:pt idx="1005">
                  <c:v>45933</c:v>
                </c:pt>
                <c:pt idx="1006">
                  <c:v>45936</c:v>
                </c:pt>
                <c:pt idx="1007">
                  <c:v>45937</c:v>
                </c:pt>
                <c:pt idx="1008">
                  <c:v>45938</c:v>
                </c:pt>
                <c:pt idx="1009">
                  <c:v>45939</c:v>
                </c:pt>
                <c:pt idx="1010">
                  <c:v>45940</c:v>
                </c:pt>
                <c:pt idx="1011">
                  <c:v>45943</c:v>
                </c:pt>
                <c:pt idx="1012">
                  <c:v>45944</c:v>
                </c:pt>
                <c:pt idx="1013">
                  <c:v>45945</c:v>
                </c:pt>
                <c:pt idx="1014">
                  <c:v>45946</c:v>
                </c:pt>
                <c:pt idx="1015">
                  <c:v>45947</c:v>
                </c:pt>
                <c:pt idx="1016">
                  <c:v>45950</c:v>
                </c:pt>
                <c:pt idx="1017">
                  <c:v>45951</c:v>
                </c:pt>
                <c:pt idx="1018">
                  <c:v>45953</c:v>
                </c:pt>
                <c:pt idx="1019">
                  <c:v>45954</c:v>
                </c:pt>
                <c:pt idx="1020">
                  <c:v>45957</c:v>
                </c:pt>
                <c:pt idx="1021">
                  <c:v>45958</c:v>
                </c:pt>
                <c:pt idx="1022">
                  <c:v>45959</c:v>
                </c:pt>
                <c:pt idx="1023">
                  <c:v>45960</c:v>
                </c:pt>
                <c:pt idx="1024">
                  <c:v>45961</c:v>
                </c:pt>
                <c:pt idx="1025">
                  <c:v>45964</c:v>
                </c:pt>
                <c:pt idx="1026">
                  <c:v>45965</c:v>
                </c:pt>
                <c:pt idx="1027">
                  <c:v>45967</c:v>
                </c:pt>
                <c:pt idx="1028">
                  <c:v>45968</c:v>
                </c:pt>
                <c:pt idx="1029">
                  <c:v>45971</c:v>
                </c:pt>
                <c:pt idx="1030">
                  <c:v>45972</c:v>
                </c:pt>
                <c:pt idx="1031">
                  <c:v>45973</c:v>
                </c:pt>
                <c:pt idx="1032">
                  <c:v>45974</c:v>
                </c:pt>
                <c:pt idx="1033">
                  <c:v>45975</c:v>
                </c:pt>
                <c:pt idx="1034">
                  <c:v>45978</c:v>
                </c:pt>
                <c:pt idx="1035">
                  <c:v>45979</c:v>
                </c:pt>
                <c:pt idx="1036">
                  <c:v>45980</c:v>
                </c:pt>
                <c:pt idx="1037">
                  <c:v>45981</c:v>
                </c:pt>
                <c:pt idx="1038">
                  <c:v>45982</c:v>
                </c:pt>
                <c:pt idx="1039">
                  <c:v>45985</c:v>
                </c:pt>
                <c:pt idx="1040">
                  <c:v>45986</c:v>
                </c:pt>
                <c:pt idx="1041">
                  <c:v>45987</c:v>
                </c:pt>
                <c:pt idx="1042">
                  <c:v>45988</c:v>
                </c:pt>
                <c:pt idx="1043">
                  <c:v>45989</c:v>
                </c:pt>
                <c:pt idx="1044">
                  <c:v>45992</c:v>
                </c:pt>
                <c:pt idx="1045">
                  <c:v>45993</c:v>
                </c:pt>
                <c:pt idx="1046">
                  <c:v>45994</c:v>
                </c:pt>
                <c:pt idx="1047">
                  <c:v>45995</c:v>
                </c:pt>
                <c:pt idx="1048">
                  <c:v>45996</c:v>
                </c:pt>
                <c:pt idx="1049">
                  <c:v>45999</c:v>
                </c:pt>
                <c:pt idx="1050">
                  <c:v>46000</c:v>
                </c:pt>
                <c:pt idx="1051">
                  <c:v>46001</c:v>
                </c:pt>
                <c:pt idx="1052">
                  <c:v>46002</c:v>
                </c:pt>
                <c:pt idx="1053">
                  <c:v>46003</c:v>
                </c:pt>
                <c:pt idx="1054">
                  <c:v>46006</c:v>
                </c:pt>
                <c:pt idx="1055">
                  <c:v>46007</c:v>
                </c:pt>
                <c:pt idx="1056">
                  <c:v>46008</c:v>
                </c:pt>
                <c:pt idx="1057">
                  <c:v>46009</c:v>
                </c:pt>
                <c:pt idx="1058">
                  <c:v>46010</c:v>
                </c:pt>
                <c:pt idx="1059">
                  <c:v>46013</c:v>
                </c:pt>
                <c:pt idx="1060">
                  <c:v>46014</c:v>
                </c:pt>
                <c:pt idx="1061">
                  <c:v>46015</c:v>
                </c:pt>
                <c:pt idx="1062">
                  <c:v>46017</c:v>
                </c:pt>
                <c:pt idx="1063">
                  <c:v>46020</c:v>
                </c:pt>
                <c:pt idx="1064">
                  <c:v>46021</c:v>
                </c:pt>
                <c:pt idx="1065">
                  <c:v>46022</c:v>
                </c:pt>
                <c:pt idx="1066">
                  <c:v>46023</c:v>
                </c:pt>
                <c:pt idx="1067">
                  <c:v>46024</c:v>
                </c:pt>
                <c:pt idx="1068">
                  <c:v>46027</c:v>
                </c:pt>
                <c:pt idx="1069">
                  <c:v>46028</c:v>
                </c:pt>
                <c:pt idx="1070">
                  <c:v>46029</c:v>
                </c:pt>
                <c:pt idx="1071">
                  <c:v>46030</c:v>
                </c:pt>
                <c:pt idx="1072">
                  <c:v>46031</c:v>
                </c:pt>
                <c:pt idx="1073">
                  <c:v>46034</c:v>
                </c:pt>
                <c:pt idx="1074">
                  <c:v>46035</c:v>
                </c:pt>
                <c:pt idx="1075">
                  <c:v>46036</c:v>
                </c:pt>
                <c:pt idx="1076">
                  <c:v>46038</c:v>
                </c:pt>
                <c:pt idx="1077">
                  <c:v>46041</c:v>
                </c:pt>
                <c:pt idx="1078">
                  <c:v>46042</c:v>
                </c:pt>
                <c:pt idx="1079">
                  <c:v>46043</c:v>
                </c:pt>
                <c:pt idx="1080">
                  <c:v>46044</c:v>
                </c:pt>
                <c:pt idx="1081">
                  <c:v>46045</c:v>
                </c:pt>
                <c:pt idx="1082">
                  <c:v>46049</c:v>
                </c:pt>
                <c:pt idx="1083">
                  <c:v>46050</c:v>
                </c:pt>
                <c:pt idx="1084">
                  <c:v>46051</c:v>
                </c:pt>
                <c:pt idx="1085">
                  <c:v>46052</c:v>
                </c:pt>
                <c:pt idx="1086">
                  <c:v>46055</c:v>
                </c:pt>
                <c:pt idx="1087">
                  <c:v>46056</c:v>
                </c:pt>
                <c:pt idx="1088">
                  <c:v>46057</c:v>
                </c:pt>
                <c:pt idx="1089">
                  <c:v>46058</c:v>
                </c:pt>
                <c:pt idx="1090">
                  <c:v>46059</c:v>
                </c:pt>
                <c:pt idx="1091">
                  <c:v>46062</c:v>
                </c:pt>
                <c:pt idx="1092">
                  <c:v>46063</c:v>
                </c:pt>
                <c:pt idx="1093">
                  <c:v>46064</c:v>
                </c:pt>
                <c:pt idx="1094">
                  <c:v>46065</c:v>
                </c:pt>
                <c:pt idx="1095">
                  <c:v>46066</c:v>
                </c:pt>
                <c:pt idx="1096">
                  <c:v>46069</c:v>
                </c:pt>
                <c:pt idx="1097">
                  <c:v>46070</c:v>
                </c:pt>
                <c:pt idx="1098">
                  <c:v>46071</c:v>
                </c:pt>
                <c:pt idx="1099">
                  <c:v>46072</c:v>
                </c:pt>
                <c:pt idx="1100">
                  <c:v>46073</c:v>
                </c:pt>
                <c:pt idx="1101">
                  <c:v>46076</c:v>
                </c:pt>
                <c:pt idx="1102">
                  <c:v>46077</c:v>
                </c:pt>
                <c:pt idx="1103">
                  <c:v>46078</c:v>
                </c:pt>
                <c:pt idx="1104">
                  <c:v>46079</c:v>
                </c:pt>
                <c:pt idx="1105">
                  <c:v>46080</c:v>
                </c:pt>
                <c:pt idx="1106">
                  <c:v>46083</c:v>
                </c:pt>
                <c:pt idx="1107">
                  <c:v>46085</c:v>
                </c:pt>
                <c:pt idx="1108">
                  <c:v>46086</c:v>
                </c:pt>
                <c:pt idx="1109">
                  <c:v>46087</c:v>
                </c:pt>
                <c:pt idx="1110">
                  <c:v>46090</c:v>
                </c:pt>
                <c:pt idx="1111">
                  <c:v>46091</c:v>
                </c:pt>
                <c:pt idx="1112">
                  <c:v>46092</c:v>
                </c:pt>
                <c:pt idx="1113">
                  <c:v>46093</c:v>
                </c:pt>
                <c:pt idx="1114">
                  <c:v>46094</c:v>
                </c:pt>
                <c:pt idx="1115">
                  <c:v>46097</c:v>
                </c:pt>
                <c:pt idx="1116">
                  <c:v>46098</c:v>
                </c:pt>
                <c:pt idx="1117">
                  <c:v>46099</c:v>
                </c:pt>
                <c:pt idx="1118">
                  <c:v>46100</c:v>
                </c:pt>
                <c:pt idx="1119">
                  <c:v>46101</c:v>
                </c:pt>
                <c:pt idx="1120">
                  <c:v>46104</c:v>
                </c:pt>
                <c:pt idx="1121">
                  <c:v>46105</c:v>
                </c:pt>
                <c:pt idx="1122">
                  <c:v>46106</c:v>
                </c:pt>
                <c:pt idx="1123">
                  <c:v>46108</c:v>
                </c:pt>
                <c:pt idx="1124">
                  <c:v>46111</c:v>
                </c:pt>
                <c:pt idx="1125">
                  <c:v>46113</c:v>
                </c:pt>
                <c:pt idx="1126">
                  <c:v>46114</c:v>
                </c:pt>
                <c:pt idx="1127">
                  <c:v>46118</c:v>
                </c:pt>
                <c:pt idx="1128">
                  <c:v>46119</c:v>
                </c:pt>
                <c:pt idx="1129">
                  <c:v>46120</c:v>
                </c:pt>
                <c:pt idx="1130">
                  <c:v>46121</c:v>
                </c:pt>
                <c:pt idx="1131">
                  <c:v>46122</c:v>
                </c:pt>
                <c:pt idx="1132">
                  <c:v>46125</c:v>
                </c:pt>
                <c:pt idx="1133">
                  <c:v>46127</c:v>
                </c:pt>
                <c:pt idx="1134">
                  <c:v>46128</c:v>
                </c:pt>
                <c:pt idx="1135">
                  <c:v>46129</c:v>
                </c:pt>
                <c:pt idx="1136">
                  <c:v>46132</c:v>
                </c:pt>
                <c:pt idx="1137">
                  <c:v>46133</c:v>
                </c:pt>
                <c:pt idx="1138">
                  <c:v>46134</c:v>
                </c:pt>
                <c:pt idx="1139">
                  <c:v>46135</c:v>
                </c:pt>
                <c:pt idx="1140">
                  <c:v>46136</c:v>
                </c:pt>
                <c:pt idx="1141">
                  <c:v>46139</c:v>
                </c:pt>
                <c:pt idx="1142">
                  <c:v>46140</c:v>
                </c:pt>
                <c:pt idx="1143">
                  <c:v>46141</c:v>
                </c:pt>
                <c:pt idx="1144">
                  <c:v>46142</c:v>
                </c:pt>
                <c:pt idx="1145">
                  <c:v>46146</c:v>
                </c:pt>
                <c:pt idx="1146">
                  <c:v>46147</c:v>
                </c:pt>
                <c:pt idx="1147">
                  <c:v>46148</c:v>
                </c:pt>
                <c:pt idx="1148">
                  <c:v>46149</c:v>
                </c:pt>
                <c:pt idx="1149">
                  <c:v>46150</c:v>
                </c:pt>
                <c:pt idx="1150">
                  <c:v>46153</c:v>
                </c:pt>
                <c:pt idx="1151">
                  <c:v>46154</c:v>
                </c:pt>
                <c:pt idx="1152">
                  <c:v>46155</c:v>
                </c:pt>
                <c:pt idx="1153">
                  <c:v>46156</c:v>
                </c:pt>
                <c:pt idx="1154">
                  <c:v>46157</c:v>
                </c:pt>
                <c:pt idx="1155">
                  <c:v>46160</c:v>
                </c:pt>
                <c:pt idx="1156">
                  <c:v>46161</c:v>
                </c:pt>
                <c:pt idx="1157">
                  <c:v>46162</c:v>
                </c:pt>
                <c:pt idx="1158">
                  <c:v>46163</c:v>
                </c:pt>
                <c:pt idx="1159">
                  <c:v>46164</c:v>
                </c:pt>
                <c:pt idx="1160">
                  <c:v>46167</c:v>
                </c:pt>
                <c:pt idx="1161">
                  <c:v>46168</c:v>
                </c:pt>
                <c:pt idx="1162">
                  <c:v>46169</c:v>
                </c:pt>
                <c:pt idx="1163">
                  <c:v>46170</c:v>
                </c:pt>
                <c:pt idx="1164">
                  <c:v>46171</c:v>
                </c:pt>
                <c:pt idx="1165">
                  <c:v>46174</c:v>
                </c:pt>
                <c:pt idx="1166">
                  <c:v>46175</c:v>
                </c:pt>
                <c:pt idx="1167">
                  <c:v>46176</c:v>
                </c:pt>
                <c:pt idx="1168">
                  <c:v>46177</c:v>
                </c:pt>
                <c:pt idx="1169">
                  <c:v>46178</c:v>
                </c:pt>
                <c:pt idx="1170">
                  <c:v>46181</c:v>
                </c:pt>
                <c:pt idx="1171">
                  <c:v>46182</c:v>
                </c:pt>
                <c:pt idx="1172">
                  <c:v>46183</c:v>
                </c:pt>
                <c:pt idx="1173">
                  <c:v>46184</c:v>
                </c:pt>
                <c:pt idx="1174">
                  <c:v>46185</c:v>
                </c:pt>
                <c:pt idx="1175">
                  <c:v>46188</c:v>
                </c:pt>
                <c:pt idx="1176">
                  <c:v>46189</c:v>
                </c:pt>
                <c:pt idx="1177">
                  <c:v>46190</c:v>
                </c:pt>
                <c:pt idx="1178">
                  <c:v>46191</c:v>
                </c:pt>
                <c:pt idx="1179">
                  <c:v>46192</c:v>
                </c:pt>
                <c:pt idx="1180">
                  <c:v>46195</c:v>
                </c:pt>
                <c:pt idx="1181">
                  <c:v>46196</c:v>
                </c:pt>
                <c:pt idx="1182">
                  <c:v>46197</c:v>
                </c:pt>
                <c:pt idx="1183">
                  <c:v>46198</c:v>
                </c:pt>
                <c:pt idx="1184">
                  <c:v>46199</c:v>
                </c:pt>
                <c:pt idx="1185">
                  <c:v>46202</c:v>
                </c:pt>
                <c:pt idx="1186">
                  <c:v>46203</c:v>
                </c:pt>
                <c:pt idx="1187">
                  <c:v>46204</c:v>
                </c:pt>
                <c:pt idx="1188">
                  <c:v>46205</c:v>
                </c:pt>
                <c:pt idx="1189">
                  <c:v>46206</c:v>
                </c:pt>
                <c:pt idx="1190">
                  <c:v>46209</c:v>
                </c:pt>
                <c:pt idx="1191">
                  <c:v>46210</c:v>
                </c:pt>
                <c:pt idx="1192">
                  <c:v>46211</c:v>
                </c:pt>
                <c:pt idx="1193">
                  <c:v>46212</c:v>
                </c:pt>
                <c:pt idx="1194">
                  <c:v>46213</c:v>
                </c:pt>
                <c:pt idx="1195">
                  <c:v>46216</c:v>
                </c:pt>
                <c:pt idx="1196">
                  <c:v>46217</c:v>
                </c:pt>
                <c:pt idx="1197">
                  <c:v>46218</c:v>
                </c:pt>
                <c:pt idx="1198">
                  <c:v>46219</c:v>
                </c:pt>
                <c:pt idx="1199">
                  <c:v>46220</c:v>
                </c:pt>
                <c:pt idx="1200">
                  <c:v>46223</c:v>
                </c:pt>
                <c:pt idx="1201">
                  <c:v>46224</c:v>
                </c:pt>
                <c:pt idx="1202">
                  <c:v>46225</c:v>
                </c:pt>
                <c:pt idx="1203">
                  <c:v>46226</c:v>
                </c:pt>
                <c:pt idx="1204">
                  <c:v>46227</c:v>
                </c:pt>
                <c:pt idx="1205">
                  <c:v>46230</c:v>
                </c:pt>
                <c:pt idx="1206">
                  <c:v>46231</c:v>
                </c:pt>
                <c:pt idx="1207">
                  <c:v>46232</c:v>
                </c:pt>
                <c:pt idx="1208">
                  <c:v>46233</c:v>
                </c:pt>
                <c:pt idx="1209">
                  <c:v>46234</c:v>
                </c:pt>
                <c:pt idx="1210">
                  <c:v>46237</c:v>
                </c:pt>
                <c:pt idx="1211">
                  <c:v>46238</c:v>
                </c:pt>
                <c:pt idx="1212">
                  <c:v>46239</c:v>
                </c:pt>
                <c:pt idx="1213">
                  <c:v>46240</c:v>
                </c:pt>
                <c:pt idx="1214">
                  <c:v>46241</c:v>
                </c:pt>
                <c:pt idx="1215">
                  <c:v>46244</c:v>
                </c:pt>
                <c:pt idx="1216">
                  <c:v>46245</c:v>
                </c:pt>
                <c:pt idx="1217">
                  <c:v>46246</c:v>
                </c:pt>
                <c:pt idx="1218">
                  <c:v>46247</c:v>
                </c:pt>
                <c:pt idx="1219">
                  <c:v>46248</c:v>
                </c:pt>
                <c:pt idx="1220">
                  <c:v>46251</c:v>
                </c:pt>
                <c:pt idx="1221">
                  <c:v>46252</c:v>
                </c:pt>
                <c:pt idx="1222">
                  <c:v>46253</c:v>
                </c:pt>
                <c:pt idx="1223">
                  <c:v>46254</c:v>
                </c:pt>
                <c:pt idx="1224">
                  <c:v>46255</c:v>
                </c:pt>
                <c:pt idx="1225">
                  <c:v>46258</c:v>
                </c:pt>
                <c:pt idx="1226">
                  <c:v>46259</c:v>
                </c:pt>
                <c:pt idx="1227">
                  <c:v>46260</c:v>
                </c:pt>
                <c:pt idx="1228">
                  <c:v>46261</c:v>
                </c:pt>
                <c:pt idx="1229">
                  <c:v>46262</c:v>
                </c:pt>
                <c:pt idx="1230">
                  <c:v>46265</c:v>
                </c:pt>
                <c:pt idx="1231">
                  <c:v>46266</c:v>
                </c:pt>
                <c:pt idx="1232">
                  <c:v>46267</c:v>
                </c:pt>
                <c:pt idx="1233">
                  <c:v>46268</c:v>
                </c:pt>
                <c:pt idx="1234">
                  <c:v>46269</c:v>
                </c:pt>
              </c:numCache>
            </c:numRef>
          </c:cat>
          <c:val>
            <c:numRef>
              <c:f>'OPP Data'!$Q$4:$Q$1238</c:f>
              <c:numCache>
                <c:formatCode>General</c:formatCode>
                <c:ptCount val="1235"/>
                <c:pt idx="0">
                  <c:v>5762.70751953125</c:v>
                </c:pt>
                <c:pt idx="1">
                  <c:v>5746.42041015625</c:v>
                </c:pt>
                <c:pt idx="2">
                  <c:v>5784.267578125</c:v>
                </c:pt>
                <c:pt idx="3">
                  <c:v>5809.46875</c:v>
                </c:pt>
                <c:pt idx="4">
                  <c:v>5792.1552734375</c:v>
                </c:pt>
                <c:pt idx="5">
                  <c:v>5854.0830078125</c:v>
                </c:pt>
                <c:pt idx="6">
                  <c:v>5844.65625</c:v>
                </c:pt>
                <c:pt idx="7">
                  <c:v>5787.7216796875</c:v>
                </c:pt>
                <c:pt idx="8">
                  <c:v>5775.681640625</c:v>
                </c:pt>
                <c:pt idx="9">
                  <c:v>5800.36865234375</c:v>
                </c:pt>
                <c:pt idx="10">
                  <c:v>5773.30078125</c:v>
                </c:pt>
                <c:pt idx="11">
                  <c:v>5790.47509765625</c:v>
                </c:pt>
                <c:pt idx="12">
                  <c:v>5791.31494140625</c:v>
                </c:pt>
                <c:pt idx="13">
                  <c:v>5786.3681640625</c:v>
                </c:pt>
                <c:pt idx="14">
                  <c:v>5783.84814453125</c:v>
                </c:pt>
                <c:pt idx="15">
                  <c:v>5810.822265625</c:v>
                </c:pt>
                <c:pt idx="16">
                  <c:v>5790.33447265625</c:v>
                </c:pt>
                <c:pt idx="17">
                  <c:v>5740.8203125</c:v>
                </c:pt>
                <c:pt idx="18">
                  <c:v>5765.46044921875</c:v>
                </c:pt>
                <c:pt idx="19">
                  <c:v>5744.46044921875</c:v>
                </c:pt>
                <c:pt idx="20">
                  <c:v>5742.8271484375</c:v>
                </c:pt>
                <c:pt idx="21">
                  <c:v>5720.8466796875</c:v>
                </c:pt>
                <c:pt idx="22">
                  <c:v>5793.4619140625</c:v>
                </c:pt>
                <c:pt idx="23">
                  <c:v>5751.833984375</c:v>
                </c:pt>
                <c:pt idx="24">
                  <c:v>5746.18701171875</c:v>
                </c:pt>
                <c:pt idx="25">
                  <c:v>5734.7998046875</c:v>
                </c:pt>
                <c:pt idx="26">
                  <c:v>5833.50244140625</c:v>
                </c:pt>
                <c:pt idx="27">
                  <c:v>5906.91064453125</c:v>
                </c:pt>
                <c:pt idx="28">
                  <c:v>5908.078125</c:v>
                </c:pt>
                <c:pt idx="29">
                  <c:v>6014.71337890625</c:v>
                </c:pt>
                <c:pt idx="30">
                  <c:v>6001.505859375</c:v>
                </c:pt>
                <c:pt idx="31">
                  <c:v>5924.92431640625</c:v>
                </c:pt>
                <c:pt idx="32">
                  <c:v>5754.30712890625</c:v>
                </c:pt>
                <c:pt idx="33">
                  <c:v>5742.26708984375</c:v>
                </c:pt>
                <c:pt idx="34">
                  <c:v>5878.72314453125</c:v>
                </c:pt>
                <c:pt idx="35">
                  <c:v>5957.6376953125</c:v>
                </c:pt>
                <c:pt idx="36">
                  <c:v>5888.896484375</c:v>
                </c:pt>
                <c:pt idx="37">
                  <c:v>5851.4228515625</c:v>
                </c:pt>
                <c:pt idx="38">
                  <c:v>5889.923828125</c:v>
                </c:pt>
                <c:pt idx="39">
                  <c:v>5876.34326171875</c:v>
                </c:pt>
                <c:pt idx="40">
                  <c:v>5913.49072265625</c:v>
                </c:pt>
                <c:pt idx="41">
                  <c:v>6030.39306640625</c:v>
                </c:pt>
                <c:pt idx="42">
                  <c:v>5986.8525390625</c:v>
                </c:pt>
                <c:pt idx="43">
                  <c:v>5721.126953125</c:v>
                </c:pt>
                <c:pt idx="44">
                  <c:v>5626.625</c:v>
                </c:pt>
                <c:pt idx="45">
                  <c:v>5696.6259765625</c:v>
                </c:pt>
                <c:pt idx="46">
                  <c:v>5769.42724609375</c:v>
                </c:pt>
                <c:pt idx="47">
                  <c:v>5785.52783203125</c:v>
                </c:pt>
                <c:pt idx="48">
                  <c:v>5894.9638671875</c:v>
                </c:pt>
                <c:pt idx="49">
                  <c:v>5875.5966796875</c:v>
                </c:pt>
                <c:pt idx="50">
                  <c:v>5878.1171875</c:v>
                </c:pt>
                <c:pt idx="51">
                  <c:v>5949.09814453125</c:v>
                </c:pt>
                <c:pt idx="52">
                  <c:v>5961.931640625</c:v>
                </c:pt>
                <c:pt idx="53">
                  <c:v>5885.53662109375</c:v>
                </c:pt>
                <c:pt idx="54">
                  <c:v>5878.48974609375</c:v>
                </c:pt>
                <c:pt idx="55">
                  <c:v>5711.7470703125</c:v>
                </c:pt>
                <c:pt idx="56">
                  <c:v>5708.853515625</c:v>
                </c:pt>
                <c:pt idx="57">
                  <c:v>5836.95556640625</c:v>
                </c:pt>
                <c:pt idx="58">
                  <c:v>5678.1923828125</c:v>
                </c:pt>
                <c:pt idx="59">
                  <c:v>5695.3193359375</c:v>
                </c:pt>
                <c:pt idx="60">
                  <c:v>5686.359375</c:v>
                </c:pt>
                <c:pt idx="61">
                  <c:v>5675.48583984375</c:v>
                </c:pt>
                <c:pt idx="62">
                  <c:v>5643.00537109375</c:v>
                </c:pt>
                <c:pt idx="63">
                  <c:v>5665.591796875</c:v>
                </c:pt>
                <c:pt idx="64">
                  <c:v>5634.83837890625</c:v>
                </c:pt>
                <c:pt idx="65">
                  <c:v>5670.07275390625</c:v>
                </c:pt>
                <c:pt idx="66">
                  <c:v>5639.50537109375</c:v>
                </c:pt>
                <c:pt idx="67">
                  <c:v>5647.3916015625</c:v>
                </c:pt>
                <c:pt idx="68">
                  <c:v>5629.28515625</c:v>
                </c:pt>
                <c:pt idx="69">
                  <c:v>5578.4169921875</c:v>
                </c:pt>
                <c:pt idx="70">
                  <c:v>5186.408203125</c:v>
                </c:pt>
                <c:pt idx="71">
                  <c:v>5258.4169921875</c:v>
                </c:pt>
                <c:pt idx="72">
                  <c:v>5259.2568359375</c:v>
                </c:pt>
                <c:pt idx="73">
                  <c:v>5399.77294921875</c:v>
                </c:pt>
                <c:pt idx="74">
                  <c:v>5378.6328125</c:v>
                </c:pt>
                <c:pt idx="75">
                  <c:v>5434.400390625</c:v>
                </c:pt>
                <c:pt idx="76">
                  <c:v>5535.482421875</c:v>
                </c:pt>
                <c:pt idx="77">
                  <c:v>5606.88427734375</c:v>
                </c:pt>
                <c:pt idx="78">
                  <c:v>5614.724609375</c:v>
                </c:pt>
                <c:pt idx="79">
                  <c:v>5710.95361328125</c:v>
                </c:pt>
                <c:pt idx="80">
                  <c:v>5711.46630859375</c:v>
                </c:pt>
                <c:pt idx="81">
                  <c:v>5614.0712890625</c:v>
                </c:pt>
                <c:pt idx="82">
                  <c:v>5527.92236328125</c:v>
                </c:pt>
                <c:pt idx="83">
                  <c:v>5557.13671875</c:v>
                </c:pt>
                <c:pt idx="84">
                  <c:v>5379.84619140625</c:v>
                </c:pt>
                <c:pt idx="85">
                  <c:v>5404.06689453125</c:v>
                </c:pt>
                <c:pt idx="86">
                  <c:v>5451.8544921875</c:v>
                </c:pt>
                <c:pt idx="87">
                  <c:v>5444.90087890625</c:v>
                </c:pt>
                <c:pt idx="88">
                  <c:v>5394.7333984375</c:v>
                </c:pt>
                <c:pt idx="89">
                  <c:v>5419.1865234375</c:v>
                </c:pt>
                <c:pt idx="90">
                  <c:v>5490.35498046875</c:v>
                </c:pt>
                <c:pt idx="91">
                  <c:v>5320.01806640625</c:v>
                </c:pt>
                <c:pt idx="92">
                  <c:v>5316.70556640625</c:v>
                </c:pt>
                <c:pt idx="93">
                  <c:v>5319.1318359375</c:v>
                </c:pt>
                <c:pt idx="94">
                  <c:v>5722.47998046875</c:v>
                </c:pt>
                <c:pt idx="95">
                  <c:v>5477.0087890625</c:v>
                </c:pt>
                <c:pt idx="96">
                  <c:v>5409.43408203125</c:v>
                </c:pt>
                <c:pt idx="97">
                  <c:v>5491.98876953125</c:v>
                </c:pt>
                <c:pt idx="98">
                  <c:v>5469.9150390625</c:v>
                </c:pt>
                <c:pt idx="99">
                  <c:v>5562.45654296875</c:v>
                </c:pt>
                <c:pt idx="100">
                  <c:v>5544.62939453125</c:v>
                </c:pt>
                <c:pt idx="101">
                  <c:v>5456.94091796875</c:v>
                </c:pt>
                <c:pt idx="102">
                  <c:v>5405.93408203125</c:v>
                </c:pt>
                <c:pt idx="103">
                  <c:v>5324.91845703125</c:v>
                </c:pt>
                <c:pt idx="104">
                  <c:v>5299.7646484375</c:v>
                </c:pt>
                <c:pt idx="105">
                  <c:v>5256.87744140625</c:v>
                </c:pt>
                <c:pt idx="106">
                  <c:v>5296.77783203125</c:v>
                </c:pt>
                <c:pt idx="107">
                  <c:v>5276.4775390625</c:v>
                </c:pt>
                <c:pt idx="108">
                  <c:v>5223.603515625</c:v>
                </c:pt>
                <c:pt idx="109">
                  <c:v>5350.958984375</c:v>
                </c:pt>
                <c:pt idx="110">
                  <c:v>5327.01806640625</c:v>
                </c:pt>
                <c:pt idx="111">
                  <c:v>5238.0703125</c:v>
                </c:pt>
                <c:pt idx="112">
                  <c:v>5195.0419921875</c:v>
                </c:pt>
                <c:pt idx="113">
                  <c:v>5200.7822265625</c:v>
                </c:pt>
                <c:pt idx="114">
                  <c:v>5191.869140625</c:v>
                </c:pt>
                <c:pt idx="115">
                  <c:v>5187.80859375</c:v>
                </c:pt>
                <c:pt idx="116">
                  <c:v>5164.98876953125</c:v>
                </c:pt>
                <c:pt idx="117">
                  <c:v>4964.41015625</c:v>
                </c:pt>
                <c:pt idx="118">
                  <c:v>4855.53564453125</c:v>
                </c:pt>
                <c:pt idx="119">
                  <c:v>4937.90380859375</c:v>
                </c:pt>
                <c:pt idx="120">
                  <c:v>4872.615234375</c:v>
                </c:pt>
                <c:pt idx="121">
                  <c:v>4979.6708984375</c:v>
                </c:pt>
                <c:pt idx="122">
                  <c:v>4946.91064453125</c:v>
                </c:pt>
                <c:pt idx="123">
                  <c:v>4842.51513671875</c:v>
                </c:pt>
                <c:pt idx="124">
                  <c:v>4767.98681640625</c:v>
                </c:pt>
                <c:pt idx="125">
                  <c:v>4894.26953125</c:v>
                </c:pt>
                <c:pt idx="126">
                  <c:v>5016.49267578125</c:v>
                </c:pt>
                <c:pt idx="127">
                  <c:v>5051.4931640625</c:v>
                </c:pt>
                <c:pt idx="128">
                  <c:v>5126.1142578125</c:v>
                </c:pt>
                <c:pt idx="129">
                  <c:v>5078.83984375</c:v>
                </c:pt>
                <c:pt idx="130">
                  <c:v>5145.0146484375</c:v>
                </c:pt>
                <c:pt idx="131">
                  <c:v>5161.5810546875</c:v>
                </c:pt>
                <c:pt idx="132">
                  <c:v>5047.33935546875</c:v>
                </c:pt>
                <c:pt idx="133">
                  <c:v>4983.451171875</c:v>
                </c:pt>
                <c:pt idx="134">
                  <c:v>5021.81201171875</c:v>
                </c:pt>
                <c:pt idx="135">
                  <c:v>5014.29833984375</c:v>
                </c:pt>
                <c:pt idx="136">
                  <c:v>4919.37646484375</c:v>
                </c:pt>
                <c:pt idx="137">
                  <c:v>4837.1015625</c:v>
                </c:pt>
                <c:pt idx="138">
                  <c:v>4834.44140625</c:v>
                </c:pt>
                <c:pt idx="139">
                  <c:v>4810.68798828125</c:v>
                </c:pt>
                <c:pt idx="140">
                  <c:v>4730.18603515625</c:v>
                </c:pt>
                <c:pt idx="141">
                  <c:v>5020.87890625</c:v>
                </c:pt>
                <c:pt idx="142">
                  <c:v>4979.62451171875</c:v>
                </c:pt>
                <c:pt idx="143">
                  <c:v>4960.35009765625</c:v>
                </c:pt>
                <c:pt idx="144">
                  <c:v>4981.0244140625</c:v>
                </c:pt>
                <c:pt idx="145">
                  <c:v>4995.58447265625</c:v>
                </c:pt>
                <c:pt idx="146">
                  <c:v>5029.69921875</c:v>
                </c:pt>
                <c:pt idx="147">
                  <c:v>4976.9638671875</c:v>
                </c:pt>
                <c:pt idx="148">
                  <c:v>4965.95068359375</c:v>
                </c:pt>
                <c:pt idx="149">
                  <c:v>4918.3037109375</c:v>
                </c:pt>
                <c:pt idx="150">
                  <c:v>4994.51123046875</c:v>
                </c:pt>
                <c:pt idx="151">
                  <c:v>4878.916015625</c:v>
                </c:pt>
                <c:pt idx="152">
                  <c:v>4913.26318359375</c:v>
                </c:pt>
                <c:pt idx="153">
                  <c:v>4916.39013671875</c:v>
                </c:pt>
                <c:pt idx="154">
                  <c:v>4863.935546875</c:v>
                </c:pt>
                <c:pt idx="155">
                  <c:v>4898.703125</c:v>
                </c:pt>
                <c:pt idx="156">
                  <c:v>4942.103515625</c:v>
                </c:pt>
                <c:pt idx="157">
                  <c:v>4851.00830078125</c:v>
                </c:pt>
                <c:pt idx="158">
                  <c:v>4949.8505859375</c:v>
                </c:pt>
                <c:pt idx="159">
                  <c:v>4936.73681640625</c:v>
                </c:pt>
                <c:pt idx="160">
                  <c:v>4838.12841796875</c:v>
                </c:pt>
                <c:pt idx="161">
                  <c:v>4768.68701171875</c:v>
                </c:pt>
                <c:pt idx="162">
                  <c:v>4819.4609375</c:v>
                </c:pt>
                <c:pt idx="163">
                  <c:v>4737.60546875</c:v>
                </c:pt>
                <c:pt idx="164">
                  <c:v>4798.2734375</c:v>
                </c:pt>
                <c:pt idx="165">
                  <c:v>4772.8408203125</c:v>
                </c:pt>
                <c:pt idx="166">
                  <c:v>4807.88818359375</c:v>
                </c:pt>
                <c:pt idx="167">
                  <c:v>4817.40771484375</c:v>
                </c:pt>
                <c:pt idx="168">
                  <c:v>4833.6943359375</c:v>
                </c:pt>
                <c:pt idx="169">
                  <c:v>4925.63037109375</c:v>
                </c:pt>
                <c:pt idx="170">
                  <c:v>4980.04443359375</c:v>
                </c:pt>
                <c:pt idx="171">
                  <c:v>4960.30419921875</c:v>
                </c:pt>
                <c:pt idx="172">
                  <c:v>4902.62255859375</c:v>
                </c:pt>
                <c:pt idx="173">
                  <c:v>4890.81591796875</c:v>
                </c:pt>
                <c:pt idx="174">
                  <c:v>4951.25</c:v>
                </c:pt>
                <c:pt idx="175">
                  <c:v>4946.02392578125</c:v>
                </c:pt>
                <c:pt idx="176">
                  <c:v>4943.45751953125</c:v>
                </c:pt>
                <c:pt idx="177">
                  <c:v>4899.82373046875</c:v>
                </c:pt>
                <c:pt idx="178">
                  <c:v>4817.22119140625</c:v>
                </c:pt>
                <c:pt idx="179">
                  <c:v>4984.19775390625</c:v>
                </c:pt>
                <c:pt idx="180">
                  <c:v>4873.12890625</c:v>
                </c:pt>
                <c:pt idx="181">
                  <c:v>4921.5234375</c:v>
                </c:pt>
                <c:pt idx="182">
                  <c:v>4877.93603515625</c:v>
                </c:pt>
                <c:pt idx="183">
                  <c:v>4879.9423828125</c:v>
                </c:pt>
                <c:pt idx="184">
                  <c:v>4918.5830078125</c:v>
                </c:pt>
                <c:pt idx="185">
                  <c:v>4849.095703125</c:v>
                </c:pt>
                <c:pt idx="186">
                  <c:v>4863.935546875</c:v>
                </c:pt>
                <c:pt idx="187">
                  <c:v>4895.66943359375</c:v>
                </c:pt>
                <c:pt idx="188">
                  <c:v>4913.123046875</c:v>
                </c:pt>
                <c:pt idx="189">
                  <c:v>4811.48046875</c:v>
                </c:pt>
                <c:pt idx="190">
                  <c:v>4848.62890625</c:v>
                </c:pt>
                <c:pt idx="191">
                  <c:v>4855.7685546875</c:v>
                </c:pt>
                <c:pt idx="192">
                  <c:v>4802.28759765625</c:v>
                </c:pt>
                <c:pt idx="193">
                  <c:v>4767.38037109375</c:v>
                </c:pt>
                <c:pt idx="194">
                  <c:v>4699.7587890625</c:v>
                </c:pt>
                <c:pt idx="195">
                  <c:v>4711.1455078125</c:v>
                </c:pt>
                <c:pt idx="196">
                  <c:v>4679.64501953125</c:v>
                </c:pt>
                <c:pt idx="197">
                  <c:v>4619.1171875</c:v>
                </c:pt>
                <c:pt idx="198">
                  <c:v>4685.05859375</c:v>
                </c:pt>
                <c:pt idx="199">
                  <c:v>4784.3212890625</c:v>
                </c:pt>
                <c:pt idx="200">
                  <c:v>4804.24755859375</c:v>
                </c:pt>
                <c:pt idx="201">
                  <c:v>4725.56591796875</c:v>
                </c:pt>
                <c:pt idx="202">
                  <c:v>4833.134765625</c:v>
                </c:pt>
                <c:pt idx="203">
                  <c:v>4759.91259765625</c:v>
                </c:pt>
                <c:pt idx="204">
                  <c:v>4757.06640625</c:v>
                </c:pt>
                <c:pt idx="205">
                  <c:v>4769.5263671875</c:v>
                </c:pt>
                <c:pt idx="206">
                  <c:v>4832.6689453125</c:v>
                </c:pt>
                <c:pt idx="207">
                  <c:v>4853.5283203125</c:v>
                </c:pt>
                <c:pt idx="208">
                  <c:v>4904.67578125</c:v>
                </c:pt>
                <c:pt idx="209">
                  <c:v>4873.92236328125</c:v>
                </c:pt>
                <c:pt idx="210">
                  <c:v>4856.609375</c:v>
                </c:pt>
                <c:pt idx="211">
                  <c:v>4890.4892578125</c:v>
                </c:pt>
                <c:pt idx="212">
                  <c:v>4891.88916015625</c:v>
                </c:pt>
                <c:pt idx="213">
                  <c:v>4815.12109375</c:v>
                </c:pt>
                <c:pt idx="214">
                  <c:v>4853.80859375</c:v>
                </c:pt>
                <c:pt idx="215">
                  <c:v>4910.88232421875</c:v>
                </c:pt>
                <c:pt idx="216">
                  <c:v>4953.77099609375</c:v>
                </c:pt>
                <c:pt idx="217">
                  <c:v>4986.85791015625</c:v>
                </c:pt>
                <c:pt idx="218">
                  <c:v>5066.4736328125</c:v>
                </c:pt>
                <c:pt idx="219">
                  <c:v>5083.55322265625</c:v>
                </c:pt>
                <c:pt idx="220">
                  <c:v>5044.11865234375</c:v>
                </c:pt>
                <c:pt idx="221">
                  <c:v>5101.83447265625</c:v>
                </c:pt>
                <c:pt idx="222">
                  <c:v>5183.75927734375</c:v>
                </c:pt>
                <c:pt idx="223">
                  <c:v>5177.29345703125</c:v>
                </c:pt>
                <c:pt idx="224">
                  <c:v>5265.400390625</c:v>
                </c:pt>
                <c:pt idx="225">
                  <c:v>5345.95703125</c:v>
                </c:pt>
                <c:pt idx="226">
                  <c:v>5353.318359375</c:v>
                </c:pt>
                <c:pt idx="227">
                  <c:v>5297.58544921875</c:v>
                </c:pt>
                <c:pt idx="228">
                  <c:v>5334.064453125</c:v>
                </c:pt>
                <c:pt idx="229">
                  <c:v>5434.771484375</c:v>
                </c:pt>
                <c:pt idx="230">
                  <c:v>5512.25927734375</c:v>
                </c:pt>
                <c:pt idx="231">
                  <c:v>5441.18896484375</c:v>
                </c:pt>
                <c:pt idx="232">
                  <c:v>5483.3310546875</c:v>
                </c:pt>
                <c:pt idx="233">
                  <c:v>5490.74072265625</c:v>
                </c:pt>
                <c:pt idx="234">
                  <c:v>5512.63720703125</c:v>
                </c:pt>
                <c:pt idx="235">
                  <c:v>5514.52490234375</c:v>
                </c:pt>
                <c:pt idx="236">
                  <c:v>5571.34326171875</c:v>
                </c:pt>
                <c:pt idx="237">
                  <c:v>5569.03125</c:v>
                </c:pt>
                <c:pt idx="238">
                  <c:v>5579.97900390625</c:v>
                </c:pt>
                <c:pt idx="239">
                  <c:v>5552.13623046875</c:v>
                </c:pt>
                <c:pt idx="240">
                  <c:v>5493.712890625</c:v>
                </c:pt>
                <c:pt idx="241">
                  <c:v>5527.50244140625</c:v>
                </c:pt>
                <c:pt idx="242">
                  <c:v>5463.55810546875</c:v>
                </c:pt>
                <c:pt idx="243">
                  <c:v>5491.353515625</c:v>
                </c:pt>
                <c:pt idx="244">
                  <c:v>5528.1162109375</c:v>
                </c:pt>
                <c:pt idx="245">
                  <c:v>5518.34765625</c:v>
                </c:pt>
                <c:pt idx="246">
                  <c:v>5498.66845703125</c:v>
                </c:pt>
                <c:pt idx="247">
                  <c:v>5450.86328125</c:v>
                </c:pt>
                <c:pt idx="248">
                  <c:v>5411.1748046875</c:v>
                </c:pt>
                <c:pt idx="249">
                  <c:v>5430.33544921875</c:v>
                </c:pt>
                <c:pt idx="250">
                  <c:v>5489.4189453125</c:v>
                </c:pt>
                <c:pt idx="251">
                  <c:v>5455.44091796875</c:v>
                </c:pt>
                <c:pt idx="252">
                  <c:v>5494.0439453125</c:v>
                </c:pt>
                <c:pt idx="253">
                  <c:v>5588.8046875</c:v>
                </c:pt>
                <c:pt idx="254">
                  <c:v>5556.33642578125</c:v>
                </c:pt>
                <c:pt idx="255">
                  <c:v>5444.3505859375</c:v>
                </c:pt>
                <c:pt idx="256">
                  <c:v>5477.24365234375</c:v>
                </c:pt>
                <c:pt idx="257">
                  <c:v>5507.068359375</c:v>
                </c:pt>
                <c:pt idx="258">
                  <c:v>5492.81689453125</c:v>
                </c:pt>
                <c:pt idx="259">
                  <c:v>5572.75927734375</c:v>
                </c:pt>
                <c:pt idx="260">
                  <c:v>5483.42578125</c:v>
                </c:pt>
                <c:pt idx="261">
                  <c:v>5444.4931640625</c:v>
                </c:pt>
                <c:pt idx="262">
                  <c:v>5434.3466796875</c:v>
                </c:pt>
                <c:pt idx="263">
                  <c:v>5419.43408203125</c:v>
                </c:pt>
                <c:pt idx="264">
                  <c:v>5449.0703125</c:v>
                </c:pt>
                <c:pt idx="265">
                  <c:v>5427.55078125</c:v>
                </c:pt>
                <c:pt idx="266">
                  <c:v>5465.115234375</c:v>
                </c:pt>
                <c:pt idx="267">
                  <c:v>5503.9072265625</c:v>
                </c:pt>
                <c:pt idx="268">
                  <c:v>5507.91796875</c:v>
                </c:pt>
                <c:pt idx="269">
                  <c:v>5506.78515625</c:v>
                </c:pt>
                <c:pt idx="270">
                  <c:v>5474.55322265625</c:v>
                </c:pt>
                <c:pt idx="271">
                  <c:v>5456.14892578125</c:v>
                </c:pt>
                <c:pt idx="272">
                  <c:v>5458.130859375</c:v>
                </c:pt>
                <c:pt idx="273">
                  <c:v>5427.12646484375</c:v>
                </c:pt>
                <c:pt idx="274">
                  <c:v>5427.50341796875</c:v>
                </c:pt>
                <c:pt idx="275">
                  <c:v>5469.92919921875</c:v>
                </c:pt>
                <c:pt idx="276">
                  <c:v>5450.91064453125</c:v>
                </c:pt>
                <c:pt idx="277">
                  <c:v>5431.27880859375</c:v>
                </c:pt>
                <c:pt idx="278">
                  <c:v>5430.42919921875</c:v>
                </c:pt>
                <c:pt idx="279">
                  <c:v>5427.3623046875</c:v>
                </c:pt>
                <c:pt idx="280">
                  <c:v>5472.19384765625</c:v>
                </c:pt>
                <c:pt idx="281">
                  <c:v>5553.55224609375</c:v>
                </c:pt>
                <c:pt idx="282">
                  <c:v>5738.21337890625</c:v>
                </c:pt>
                <c:pt idx="283">
                  <c:v>5648.9267578125</c:v>
                </c:pt>
                <c:pt idx="284">
                  <c:v>5689.32275390625</c:v>
                </c:pt>
                <c:pt idx="285">
                  <c:v>5616.6474609375</c:v>
                </c:pt>
                <c:pt idx="286">
                  <c:v>5676.01416015625</c:v>
                </c:pt>
                <c:pt idx="287">
                  <c:v>6022.63671875</c:v>
                </c:pt>
                <c:pt idx="288">
                  <c:v>6161.04931640625</c:v>
                </c:pt>
                <c:pt idx="289">
                  <c:v>6033.25439453125</c:v>
                </c:pt>
                <c:pt idx="290">
                  <c:v>6101.54052734375</c:v>
                </c:pt>
                <c:pt idx="291">
                  <c:v>6090.68701171875</c:v>
                </c:pt>
                <c:pt idx="292">
                  <c:v>6018.955078125</c:v>
                </c:pt>
                <c:pt idx="293">
                  <c:v>6089.50634765625</c:v>
                </c:pt>
                <c:pt idx="294">
                  <c:v>6044.10888671875</c:v>
                </c:pt>
                <c:pt idx="295">
                  <c:v>5963.55322265625</c:v>
                </c:pt>
                <c:pt idx="296">
                  <c:v>5948.54541015625</c:v>
                </c:pt>
                <c:pt idx="297">
                  <c:v>5955.29443359375</c:v>
                </c:pt>
                <c:pt idx="298">
                  <c:v>5945.525390625</c:v>
                </c:pt>
                <c:pt idx="299">
                  <c:v>5851.14208984375</c:v>
                </c:pt>
                <c:pt idx="300">
                  <c:v>5785.16845703125</c:v>
                </c:pt>
                <c:pt idx="301">
                  <c:v>5752.134765625</c:v>
                </c:pt>
                <c:pt idx="302">
                  <c:v>5829.76513671875</c:v>
                </c:pt>
                <c:pt idx="303">
                  <c:v>5911.02783203125</c:v>
                </c:pt>
                <c:pt idx="304">
                  <c:v>6004.37353515625</c:v>
                </c:pt>
                <c:pt idx="305">
                  <c:v>5968.4609375</c:v>
                </c:pt>
                <c:pt idx="306">
                  <c:v>6003.94873046875</c:v>
                </c:pt>
                <c:pt idx="307">
                  <c:v>5960.39111328125</c:v>
                </c:pt>
                <c:pt idx="308">
                  <c:v>5977.568359375</c:v>
                </c:pt>
                <c:pt idx="309">
                  <c:v>6001.5419921875</c:v>
                </c:pt>
                <c:pt idx="310">
                  <c:v>5963.1748046875</c:v>
                </c:pt>
                <c:pt idx="311">
                  <c:v>5937.12548828125</c:v>
                </c:pt>
                <c:pt idx="312">
                  <c:v>5915.0869140625</c:v>
                </c:pt>
                <c:pt idx="313">
                  <c:v>5937.50341796875</c:v>
                </c:pt>
                <c:pt idx="314">
                  <c:v>5898.09814453125</c:v>
                </c:pt>
                <c:pt idx="315">
                  <c:v>5924.572265625</c:v>
                </c:pt>
                <c:pt idx="316">
                  <c:v>5848.310546875</c:v>
                </c:pt>
                <c:pt idx="317">
                  <c:v>5896.35205078125</c:v>
                </c:pt>
                <c:pt idx="318">
                  <c:v>5848.4521484375</c:v>
                </c:pt>
                <c:pt idx="319">
                  <c:v>5861.1943359375</c:v>
                </c:pt>
                <c:pt idx="320">
                  <c:v>5831.6044921875</c:v>
                </c:pt>
                <c:pt idx="321">
                  <c:v>5846.14013671875</c:v>
                </c:pt>
                <c:pt idx="322">
                  <c:v>5783.564453125</c:v>
                </c:pt>
                <c:pt idx="323">
                  <c:v>5859.58935546875</c:v>
                </c:pt>
                <c:pt idx="324">
                  <c:v>5828.6787109375</c:v>
                </c:pt>
                <c:pt idx="325">
                  <c:v>5849.0654296875</c:v>
                </c:pt>
                <c:pt idx="326">
                  <c:v>6015.88818359375</c:v>
                </c:pt>
                <c:pt idx="327">
                  <c:v>5918.2490234375</c:v>
                </c:pt>
                <c:pt idx="328">
                  <c:v>5879.88232421875</c:v>
                </c:pt>
                <c:pt idx="329">
                  <c:v>5855.05908203125</c:v>
                </c:pt>
                <c:pt idx="330">
                  <c:v>5897.814453125</c:v>
                </c:pt>
                <c:pt idx="331">
                  <c:v>5883.6572265625</c:v>
                </c:pt>
                <c:pt idx="332">
                  <c:v>5837.9287109375</c:v>
                </c:pt>
                <c:pt idx="333">
                  <c:v>5864.9228515625</c:v>
                </c:pt>
                <c:pt idx="334">
                  <c:v>5912.06689453125</c:v>
                </c:pt>
                <c:pt idx="335">
                  <c:v>5830.9443359375</c:v>
                </c:pt>
                <c:pt idx="336">
                  <c:v>5823.29931640625</c:v>
                </c:pt>
                <c:pt idx="337">
                  <c:v>5842.3173828125</c:v>
                </c:pt>
                <c:pt idx="338">
                  <c:v>5806.12158203125</c:v>
                </c:pt>
                <c:pt idx="339">
                  <c:v>5816.880859375</c:v>
                </c:pt>
                <c:pt idx="340">
                  <c:v>5807.7734375</c:v>
                </c:pt>
                <c:pt idx="341">
                  <c:v>5766.48046875</c:v>
                </c:pt>
                <c:pt idx="342">
                  <c:v>5747.0849609375</c:v>
                </c:pt>
                <c:pt idx="343">
                  <c:v>5672.89990234375</c:v>
                </c:pt>
                <c:pt idx="344">
                  <c:v>5702.20556640625</c:v>
                </c:pt>
                <c:pt idx="345">
                  <c:v>5732.078125</c:v>
                </c:pt>
                <c:pt idx="346">
                  <c:v>5849.8681640625</c:v>
                </c:pt>
                <c:pt idx="347">
                  <c:v>5902.25048828125</c:v>
                </c:pt>
                <c:pt idx="348">
                  <c:v>5856.0498046875</c:v>
                </c:pt>
                <c:pt idx="349">
                  <c:v>5844.01611328125</c:v>
                </c:pt>
                <c:pt idx="350">
                  <c:v>5756.80615234375</c:v>
                </c:pt>
                <c:pt idx="351">
                  <c:v>5754.87109375</c:v>
                </c:pt>
                <c:pt idx="352">
                  <c:v>5662.42333984375</c:v>
                </c:pt>
                <c:pt idx="353">
                  <c:v>5662.32861328125</c:v>
                </c:pt>
                <c:pt idx="354">
                  <c:v>5658.41162109375</c:v>
                </c:pt>
                <c:pt idx="355">
                  <c:v>5707.96240234375</c:v>
                </c:pt>
                <c:pt idx="356">
                  <c:v>5667.189453125</c:v>
                </c:pt>
                <c:pt idx="357">
                  <c:v>5685.6416015625</c:v>
                </c:pt>
                <c:pt idx="358">
                  <c:v>5680.49755859375</c:v>
                </c:pt>
                <c:pt idx="359">
                  <c:v>5668.36962890625</c:v>
                </c:pt>
                <c:pt idx="360">
                  <c:v>5581.81982421875</c:v>
                </c:pt>
                <c:pt idx="361">
                  <c:v>5653.55078125</c:v>
                </c:pt>
                <c:pt idx="362">
                  <c:v>5637.31689453125</c:v>
                </c:pt>
                <c:pt idx="363">
                  <c:v>5608.57763671875</c:v>
                </c:pt>
                <c:pt idx="364">
                  <c:v>5587.10546875</c:v>
                </c:pt>
                <c:pt idx="365">
                  <c:v>5571.34326171875</c:v>
                </c:pt>
                <c:pt idx="366">
                  <c:v>5559.9228515625</c:v>
                </c:pt>
                <c:pt idx="367">
                  <c:v>5620.23388671875</c:v>
                </c:pt>
                <c:pt idx="368">
                  <c:v>5589.04052734375</c:v>
                </c:pt>
                <c:pt idx="369">
                  <c:v>5764.40478515625</c:v>
                </c:pt>
                <c:pt idx="370">
                  <c:v>5801.166015625</c:v>
                </c:pt>
                <c:pt idx="371">
                  <c:v>5831.65283203125</c:v>
                </c:pt>
                <c:pt idx="372">
                  <c:v>5827.923828125</c:v>
                </c:pt>
                <c:pt idx="373">
                  <c:v>5756.71142578125</c:v>
                </c:pt>
                <c:pt idx="374">
                  <c:v>5751.4267578125</c:v>
                </c:pt>
                <c:pt idx="375">
                  <c:v>5732.03076171875</c:v>
                </c:pt>
                <c:pt idx="376">
                  <c:v>5734.34326171875</c:v>
                </c:pt>
                <c:pt idx="377">
                  <c:v>5744.63134765625</c:v>
                </c:pt>
                <c:pt idx="378">
                  <c:v>5795.22021484375</c:v>
                </c:pt>
                <c:pt idx="379">
                  <c:v>5852.369140625</c:v>
                </c:pt>
                <c:pt idx="380">
                  <c:v>5811.595703125</c:v>
                </c:pt>
                <c:pt idx="381">
                  <c:v>5735.66455078125</c:v>
                </c:pt>
                <c:pt idx="382">
                  <c:v>5784.224609375</c:v>
                </c:pt>
                <c:pt idx="383">
                  <c:v>5865.81884765625</c:v>
                </c:pt>
                <c:pt idx="384">
                  <c:v>5858.59814453125</c:v>
                </c:pt>
                <c:pt idx="385">
                  <c:v>5835.99365234375</c:v>
                </c:pt>
                <c:pt idx="386">
                  <c:v>5773.98388671875</c:v>
                </c:pt>
                <c:pt idx="387">
                  <c:v>5800.22216796875</c:v>
                </c:pt>
                <c:pt idx="388">
                  <c:v>5802.2041015625</c:v>
                </c:pt>
                <c:pt idx="389">
                  <c:v>5810.84033203125</c:v>
                </c:pt>
                <c:pt idx="390">
                  <c:v>5845.47998046875</c:v>
                </c:pt>
                <c:pt idx="391">
                  <c:v>5941.892578125</c:v>
                </c:pt>
                <c:pt idx="392">
                  <c:v>5934.435546875</c:v>
                </c:pt>
                <c:pt idx="393">
                  <c:v>5913.48193359375</c:v>
                </c:pt>
                <c:pt idx="394">
                  <c:v>5833.06787109375</c:v>
                </c:pt>
                <c:pt idx="395">
                  <c:v>5882.85546875</c:v>
                </c:pt>
                <c:pt idx="396">
                  <c:v>5780.26025390625</c:v>
                </c:pt>
                <c:pt idx="397">
                  <c:v>5801.2138671875</c:v>
                </c:pt>
                <c:pt idx="398">
                  <c:v>5875.30419921875</c:v>
                </c:pt>
                <c:pt idx="399">
                  <c:v>5884.7900390625</c:v>
                </c:pt>
                <c:pt idx="400">
                  <c:v>5819.71240234375</c:v>
                </c:pt>
                <c:pt idx="401">
                  <c:v>5899.65576171875</c:v>
                </c:pt>
                <c:pt idx="402">
                  <c:v>6036.369140625</c:v>
                </c:pt>
                <c:pt idx="403">
                  <c:v>5951.896484375</c:v>
                </c:pt>
                <c:pt idx="404">
                  <c:v>5974.97265625</c:v>
                </c:pt>
                <c:pt idx="405">
                  <c:v>5954.96435546875</c:v>
                </c:pt>
                <c:pt idx="406">
                  <c:v>6005.88330078125</c:v>
                </c:pt>
                <c:pt idx="407">
                  <c:v>5966.14892578125</c:v>
                </c:pt>
                <c:pt idx="408">
                  <c:v>6012.8681640625</c:v>
                </c:pt>
                <c:pt idx="409">
                  <c:v>6077.28466796875</c:v>
                </c:pt>
                <c:pt idx="410">
                  <c:v>5995.78466796875</c:v>
                </c:pt>
                <c:pt idx="411">
                  <c:v>6027.63916015625</c:v>
                </c:pt>
                <c:pt idx="412">
                  <c:v>6043.16455078125</c:v>
                </c:pt>
                <c:pt idx="413">
                  <c:v>6074.40576171875</c:v>
                </c:pt>
                <c:pt idx="414">
                  <c:v>6039.3427734375</c:v>
                </c:pt>
                <c:pt idx="415">
                  <c:v>6083.13623046875</c:v>
                </c:pt>
                <c:pt idx="416">
                  <c:v>6051.70703125</c:v>
                </c:pt>
                <c:pt idx="417">
                  <c:v>6057.60546875</c:v>
                </c:pt>
                <c:pt idx="418">
                  <c:v>6053.9716796875</c:v>
                </c:pt>
                <c:pt idx="419">
                  <c:v>6006.8271484375</c:v>
                </c:pt>
                <c:pt idx="420">
                  <c:v>6035.9443359375</c:v>
                </c:pt>
                <c:pt idx="421">
                  <c:v>6018.4833984375</c:v>
                </c:pt>
                <c:pt idx="422">
                  <c:v>6032.4052734375</c:v>
                </c:pt>
                <c:pt idx="423">
                  <c:v>6027.21435546875</c:v>
                </c:pt>
                <c:pt idx="424">
                  <c:v>5976.43603515625</c:v>
                </c:pt>
                <c:pt idx="425">
                  <c:v>6033.44287109375</c:v>
                </c:pt>
                <c:pt idx="426">
                  <c:v>5986.77099609375</c:v>
                </c:pt>
                <c:pt idx="427">
                  <c:v>6041.5126953125</c:v>
                </c:pt>
                <c:pt idx="428">
                  <c:v>6025.4208984375</c:v>
                </c:pt>
                <c:pt idx="429">
                  <c:v>6045.33642578125</c:v>
                </c:pt>
                <c:pt idx="430">
                  <c:v>6037.3603515625</c:v>
                </c:pt>
                <c:pt idx="431">
                  <c:v>6040.09765625</c:v>
                </c:pt>
                <c:pt idx="432">
                  <c:v>6033.44287109375</c:v>
                </c:pt>
                <c:pt idx="433">
                  <c:v>6035.0009765625</c:v>
                </c:pt>
                <c:pt idx="434">
                  <c:v>6063.126953125</c:v>
                </c:pt>
                <c:pt idx="435">
                  <c:v>6066.33642578125</c:v>
                </c:pt>
                <c:pt idx="436">
                  <c:v>5967.23388671875</c:v>
                </c:pt>
                <c:pt idx="437">
                  <c:v>5993.3310546875</c:v>
                </c:pt>
                <c:pt idx="438">
                  <c:v>6000.92822265625</c:v>
                </c:pt>
                <c:pt idx="439">
                  <c:v>6035.9443359375</c:v>
                </c:pt>
                <c:pt idx="440">
                  <c:v>6024.90185546875</c:v>
                </c:pt>
                <c:pt idx="441">
                  <c:v>6000.3623046875</c:v>
                </c:pt>
                <c:pt idx="442">
                  <c:v>6009.28125</c:v>
                </c:pt>
                <c:pt idx="443">
                  <c:v>6027.21435546875</c:v>
                </c:pt>
                <c:pt idx="444">
                  <c:v>6019.38037109375</c:v>
                </c:pt>
                <c:pt idx="445">
                  <c:v>6011.9716796875</c:v>
                </c:pt>
                <c:pt idx="446">
                  <c:v>6026.8837890625</c:v>
                </c:pt>
                <c:pt idx="447">
                  <c:v>6011.1689453125</c:v>
                </c:pt>
                <c:pt idx="448">
                  <c:v>6027.591796875</c:v>
                </c:pt>
                <c:pt idx="449">
                  <c:v>6033.0185546875</c:v>
                </c:pt>
                <c:pt idx="450">
                  <c:v>6038.3515625</c:v>
                </c:pt>
                <c:pt idx="451">
                  <c:v>6041.22998046875</c:v>
                </c:pt>
                <c:pt idx="452">
                  <c:v>6086.392578125</c:v>
                </c:pt>
                <c:pt idx="453">
                  <c:v>6077.61474609375</c:v>
                </c:pt>
                <c:pt idx="454">
                  <c:v>6053.3583984375</c:v>
                </c:pt>
                <c:pt idx="455">
                  <c:v>6068.69580078125</c:v>
                </c:pt>
                <c:pt idx="456">
                  <c:v>6045.8076171875</c:v>
                </c:pt>
                <c:pt idx="457">
                  <c:v>6066.85546875</c:v>
                </c:pt>
                <c:pt idx="458">
                  <c:v>6040.94677734375</c:v>
                </c:pt>
                <c:pt idx="459">
                  <c:v>6219.23681640625</c:v>
                </c:pt>
                <c:pt idx="460">
                  <c:v>6219.09521484375</c:v>
                </c:pt>
                <c:pt idx="461">
                  <c:v>6182.56884765625</c:v>
                </c:pt>
                <c:pt idx="462">
                  <c:v>6206.0703125</c:v>
                </c:pt>
                <c:pt idx="463">
                  <c:v>6314.65771484375</c:v>
                </c:pt>
                <c:pt idx="464">
                  <c:v>6309.89111328125</c:v>
                </c:pt>
                <c:pt idx="465">
                  <c:v>6243.3515625</c:v>
                </c:pt>
                <c:pt idx="466">
                  <c:v>6286.390625</c:v>
                </c:pt>
                <c:pt idx="467">
                  <c:v>6300.40673828125</c:v>
                </c:pt>
                <c:pt idx="468">
                  <c:v>6299.88720703125</c:v>
                </c:pt>
                <c:pt idx="469">
                  <c:v>6261.095703125</c:v>
                </c:pt>
                <c:pt idx="470">
                  <c:v>6346.79541015625</c:v>
                </c:pt>
                <c:pt idx="471">
                  <c:v>6465.01025390625</c:v>
                </c:pt>
                <c:pt idx="472">
                  <c:v>6433.25927734375</c:v>
                </c:pt>
                <c:pt idx="473">
                  <c:v>6316.78857421875</c:v>
                </c:pt>
                <c:pt idx="474">
                  <c:v>6402.369140625</c:v>
                </c:pt>
                <c:pt idx="475">
                  <c:v>6420.041015625</c:v>
                </c:pt>
                <c:pt idx="476">
                  <c:v>6524.68212890625</c:v>
                </c:pt>
                <c:pt idx="477">
                  <c:v>6375.02392578125</c:v>
                </c:pt>
                <c:pt idx="478">
                  <c:v>6448.5361328125</c:v>
                </c:pt>
                <c:pt idx="479">
                  <c:v>6417.07177734375</c:v>
                </c:pt>
                <c:pt idx="480">
                  <c:v>6557.96630859375</c:v>
                </c:pt>
                <c:pt idx="481">
                  <c:v>6594.79443359375</c:v>
                </c:pt>
                <c:pt idx="482">
                  <c:v>6634.2080078125</c:v>
                </c:pt>
                <c:pt idx="483">
                  <c:v>6611.41259765625</c:v>
                </c:pt>
                <c:pt idx="484">
                  <c:v>6646.42041015625</c:v>
                </c:pt>
                <c:pt idx="485">
                  <c:v>6555.33203125</c:v>
                </c:pt>
                <c:pt idx="486">
                  <c:v>6456.77294921875</c:v>
                </c:pt>
                <c:pt idx="487">
                  <c:v>6516.87646484375</c:v>
                </c:pt>
                <c:pt idx="488">
                  <c:v>6489.673828125</c:v>
                </c:pt>
                <c:pt idx="489">
                  <c:v>6525.40087890625</c:v>
                </c:pt>
                <c:pt idx="490">
                  <c:v>6483.8798828125</c:v>
                </c:pt>
                <c:pt idx="491">
                  <c:v>6583.63623046875</c:v>
                </c:pt>
                <c:pt idx="492">
                  <c:v>6638.9013671875</c:v>
                </c:pt>
                <c:pt idx="493">
                  <c:v>6697.52001953125</c:v>
                </c:pt>
                <c:pt idx="494">
                  <c:v>6711.025390625</c:v>
                </c:pt>
                <c:pt idx="495">
                  <c:v>6685.49951171875</c:v>
                </c:pt>
                <c:pt idx="496">
                  <c:v>6633.92138671875</c:v>
                </c:pt>
                <c:pt idx="497">
                  <c:v>6752.64208984375</c:v>
                </c:pt>
                <c:pt idx="498">
                  <c:v>6879.9365234375</c:v>
                </c:pt>
                <c:pt idx="499">
                  <c:v>6837.8876953125</c:v>
                </c:pt>
                <c:pt idx="500">
                  <c:v>6638.279296875</c:v>
                </c:pt>
                <c:pt idx="501">
                  <c:v>6687.07958984375</c:v>
                </c:pt>
                <c:pt idx="502">
                  <c:v>6717.77783203125</c:v>
                </c:pt>
                <c:pt idx="503">
                  <c:v>6699.0048828125</c:v>
                </c:pt>
                <c:pt idx="504">
                  <c:v>6565.14990234375</c:v>
                </c:pt>
                <c:pt idx="505">
                  <c:v>6574.8720703125</c:v>
                </c:pt>
                <c:pt idx="506">
                  <c:v>6488.189453125</c:v>
                </c:pt>
                <c:pt idx="507">
                  <c:v>6619.7451171875</c:v>
                </c:pt>
                <c:pt idx="508">
                  <c:v>6542.306640625</c:v>
                </c:pt>
                <c:pt idx="509">
                  <c:v>6457.58740234375</c:v>
                </c:pt>
                <c:pt idx="510">
                  <c:v>6541.060546875</c:v>
                </c:pt>
                <c:pt idx="511">
                  <c:v>6645.79833984375</c:v>
                </c:pt>
                <c:pt idx="512">
                  <c:v>6636.50732421875</c:v>
                </c:pt>
                <c:pt idx="513">
                  <c:v>6747.0869140625</c:v>
                </c:pt>
                <c:pt idx="514">
                  <c:v>6831.662109375</c:v>
                </c:pt>
                <c:pt idx="515">
                  <c:v>7046.49951171875</c:v>
                </c:pt>
                <c:pt idx="516">
                  <c:v>6919.54150390625</c:v>
                </c:pt>
                <c:pt idx="517">
                  <c:v>6800.9638671875</c:v>
                </c:pt>
                <c:pt idx="518">
                  <c:v>6946.4560546875</c:v>
                </c:pt>
                <c:pt idx="519">
                  <c:v>6907.521484375</c:v>
                </c:pt>
                <c:pt idx="520">
                  <c:v>6839.80322265625</c:v>
                </c:pt>
                <c:pt idx="521">
                  <c:v>6920.451171875</c:v>
                </c:pt>
                <c:pt idx="522">
                  <c:v>7029.64208984375</c:v>
                </c:pt>
                <c:pt idx="523">
                  <c:v>7033.80908203125</c:v>
                </c:pt>
                <c:pt idx="524">
                  <c:v>6997.31640625</c:v>
                </c:pt>
                <c:pt idx="525">
                  <c:v>6906.7548828125</c:v>
                </c:pt>
                <c:pt idx="526">
                  <c:v>6892.72216796875</c:v>
                </c:pt>
                <c:pt idx="527">
                  <c:v>6802.5927734375</c:v>
                </c:pt>
                <c:pt idx="528">
                  <c:v>6637.9443359375</c:v>
                </c:pt>
                <c:pt idx="529">
                  <c:v>6665.14599609375</c:v>
                </c:pt>
                <c:pt idx="530">
                  <c:v>6785.3515625</c:v>
                </c:pt>
                <c:pt idx="531">
                  <c:v>6801.8740234375</c:v>
                </c:pt>
                <c:pt idx="532">
                  <c:v>6657.435546875</c:v>
                </c:pt>
                <c:pt idx="533">
                  <c:v>6590.6279296875</c:v>
                </c:pt>
                <c:pt idx="534">
                  <c:v>6575.78173828125</c:v>
                </c:pt>
                <c:pt idx="535">
                  <c:v>6738.1796875</c:v>
                </c:pt>
                <c:pt idx="536">
                  <c:v>6700.345703125</c:v>
                </c:pt>
                <c:pt idx="537">
                  <c:v>6864.94580078125</c:v>
                </c:pt>
                <c:pt idx="538">
                  <c:v>7013.88623046875</c:v>
                </c:pt>
                <c:pt idx="539">
                  <c:v>7064.36328125</c:v>
                </c:pt>
                <c:pt idx="540">
                  <c:v>6984.1455078125</c:v>
                </c:pt>
                <c:pt idx="541">
                  <c:v>6914.5126953125</c:v>
                </c:pt>
                <c:pt idx="542">
                  <c:v>6936.302734375</c:v>
                </c:pt>
                <c:pt idx="543">
                  <c:v>6965.7080078125</c:v>
                </c:pt>
                <c:pt idx="544">
                  <c:v>7015.70654296875</c:v>
                </c:pt>
                <c:pt idx="545">
                  <c:v>7013.98193359375</c:v>
                </c:pt>
                <c:pt idx="546">
                  <c:v>7001.6259765625</c:v>
                </c:pt>
                <c:pt idx="547">
                  <c:v>6977.01025390625</c:v>
                </c:pt>
                <c:pt idx="548">
                  <c:v>6896.50634765625</c:v>
                </c:pt>
                <c:pt idx="549">
                  <c:v>6963.55322265625</c:v>
                </c:pt>
                <c:pt idx="550">
                  <c:v>7085.2431640625</c:v>
                </c:pt>
                <c:pt idx="551">
                  <c:v>7079.30517578125</c:v>
                </c:pt>
                <c:pt idx="552">
                  <c:v>7131.123046875</c:v>
                </c:pt>
                <c:pt idx="553">
                  <c:v>7200.66015625</c:v>
                </c:pt>
                <c:pt idx="554">
                  <c:v>7254.39404296875</c:v>
                </c:pt>
                <c:pt idx="555">
                  <c:v>7197.93017578125</c:v>
                </c:pt>
                <c:pt idx="556">
                  <c:v>7261.7685546875</c:v>
                </c:pt>
                <c:pt idx="557">
                  <c:v>7243.71337890625</c:v>
                </c:pt>
                <c:pt idx="558">
                  <c:v>7277.62060546875</c:v>
                </c:pt>
                <c:pt idx="559">
                  <c:v>7288.49169921875</c:v>
                </c:pt>
                <c:pt idx="560">
                  <c:v>7163.927734375</c:v>
                </c:pt>
                <c:pt idx="561">
                  <c:v>7205.68896484375</c:v>
                </c:pt>
                <c:pt idx="562">
                  <c:v>7241.7978515625</c:v>
                </c:pt>
                <c:pt idx="563">
                  <c:v>7162.6826171875</c:v>
                </c:pt>
                <c:pt idx="564">
                  <c:v>7159.0908203125</c:v>
                </c:pt>
                <c:pt idx="565">
                  <c:v>7131.123046875</c:v>
                </c:pt>
                <c:pt idx="566">
                  <c:v>7172.30908203125</c:v>
                </c:pt>
                <c:pt idx="567">
                  <c:v>7200.99560546875</c:v>
                </c:pt>
                <c:pt idx="568">
                  <c:v>7250.0830078125</c:v>
                </c:pt>
                <c:pt idx="569">
                  <c:v>7180.59423828125</c:v>
                </c:pt>
                <c:pt idx="570">
                  <c:v>7244.33642578125</c:v>
                </c:pt>
                <c:pt idx="571">
                  <c:v>7181.6474609375</c:v>
                </c:pt>
                <c:pt idx="572">
                  <c:v>7268.330078125</c:v>
                </c:pt>
                <c:pt idx="573">
                  <c:v>7225.32421875</c:v>
                </c:pt>
                <c:pt idx="574">
                  <c:v>7167.13623046875</c:v>
                </c:pt>
                <c:pt idx="575">
                  <c:v>7114.45654296875</c:v>
                </c:pt>
                <c:pt idx="576">
                  <c:v>7228.48486328125</c:v>
                </c:pt>
                <c:pt idx="577">
                  <c:v>7202.86328125</c:v>
                </c:pt>
                <c:pt idx="578">
                  <c:v>7203.7734375</c:v>
                </c:pt>
                <c:pt idx="579">
                  <c:v>7127.38720703125</c:v>
                </c:pt>
                <c:pt idx="580">
                  <c:v>7180.59423828125</c:v>
                </c:pt>
                <c:pt idx="581">
                  <c:v>7265.3603515625</c:v>
                </c:pt>
                <c:pt idx="582">
                  <c:v>7184.2333984375</c:v>
                </c:pt>
                <c:pt idx="583">
                  <c:v>7193.189453125</c:v>
                </c:pt>
                <c:pt idx="584">
                  <c:v>7203.7734375</c:v>
                </c:pt>
                <c:pt idx="585">
                  <c:v>7236.865234375</c:v>
                </c:pt>
                <c:pt idx="586">
                  <c:v>7212.919921875</c:v>
                </c:pt>
                <c:pt idx="587">
                  <c:v>7220.05615234375</c:v>
                </c:pt>
                <c:pt idx="588">
                  <c:v>7166.2744140625</c:v>
                </c:pt>
                <c:pt idx="589">
                  <c:v>7099.6103515625</c:v>
                </c:pt>
                <c:pt idx="590">
                  <c:v>6996.40625</c:v>
                </c:pt>
                <c:pt idx="591">
                  <c:v>6976.48388671875</c:v>
                </c:pt>
                <c:pt idx="592">
                  <c:v>6967.048828125</c:v>
                </c:pt>
                <c:pt idx="593">
                  <c:v>7181.4560546875</c:v>
                </c:pt>
                <c:pt idx="594">
                  <c:v>7271.29833984375</c:v>
                </c:pt>
                <c:pt idx="595">
                  <c:v>7073.126953125</c:v>
                </c:pt>
                <c:pt idx="596">
                  <c:v>7126.76416015625</c:v>
                </c:pt>
                <c:pt idx="597">
                  <c:v>6904.83935546875</c:v>
                </c:pt>
                <c:pt idx="598">
                  <c:v>6913.5546875</c:v>
                </c:pt>
                <c:pt idx="599">
                  <c:v>6838.07958984375</c:v>
                </c:pt>
                <c:pt idx="600">
                  <c:v>6880.7021484375</c:v>
                </c:pt>
                <c:pt idx="601">
                  <c:v>6788.03369140625</c:v>
                </c:pt>
                <c:pt idx="602">
                  <c:v>6817.67822265625</c:v>
                </c:pt>
                <c:pt idx="603">
                  <c:v>6797.228515625</c:v>
                </c:pt>
                <c:pt idx="604">
                  <c:v>6916.09326171875</c:v>
                </c:pt>
                <c:pt idx="605">
                  <c:v>6976.9150390625</c:v>
                </c:pt>
                <c:pt idx="606">
                  <c:v>6944.97119140625</c:v>
                </c:pt>
                <c:pt idx="607">
                  <c:v>6867.9150390625</c:v>
                </c:pt>
                <c:pt idx="608">
                  <c:v>6806.615234375</c:v>
                </c:pt>
                <c:pt idx="609">
                  <c:v>6720.6513671875</c:v>
                </c:pt>
                <c:pt idx="610">
                  <c:v>6825.484375</c:v>
                </c:pt>
                <c:pt idx="611">
                  <c:v>6750.6787109375</c:v>
                </c:pt>
                <c:pt idx="612">
                  <c:v>6704.99072265625</c:v>
                </c:pt>
                <c:pt idx="613">
                  <c:v>6613.2802734375</c:v>
                </c:pt>
                <c:pt idx="614">
                  <c:v>6604.70751953125</c:v>
                </c:pt>
                <c:pt idx="615">
                  <c:v>6474.87548828125</c:v>
                </c:pt>
                <c:pt idx="616">
                  <c:v>6510.1240234375</c:v>
                </c:pt>
                <c:pt idx="617">
                  <c:v>6506.53173828125</c:v>
                </c:pt>
                <c:pt idx="618">
                  <c:v>6118.568359375</c:v>
                </c:pt>
                <c:pt idx="619">
                  <c:v>6177.95361328125</c:v>
                </c:pt>
                <c:pt idx="620">
                  <c:v>6041.369140625</c:v>
                </c:pt>
                <c:pt idx="621">
                  <c:v>6043.8115234375</c:v>
                </c:pt>
                <c:pt idx="622">
                  <c:v>6000.85400390625</c:v>
                </c:pt>
                <c:pt idx="623">
                  <c:v>6011.341796875</c:v>
                </c:pt>
                <c:pt idx="624">
                  <c:v>5891.66259765625</c:v>
                </c:pt>
                <c:pt idx="625">
                  <c:v>5841.42529296875</c:v>
                </c:pt>
                <c:pt idx="626">
                  <c:v>5865.322265625</c:v>
                </c:pt>
                <c:pt idx="627">
                  <c:v>5875.90673828125</c:v>
                </c:pt>
                <c:pt idx="628">
                  <c:v>5843.81982421875</c:v>
                </c:pt>
                <c:pt idx="629">
                  <c:v>5822.26904296875</c:v>
                </c:pt>
                <c:pt idx="630">
                  <c:v>5816.138671875</c:v>
                </c:pt>
                <c:pt idx="631">
                  <c:v>5813.26513671875</c:v>
                </c:pt>
                <c:pt idx="632">
                  <c:v>5857.3251953125</c:v>
                </c:pt>
                <c:pt idx="633">
                  <c:v>5877.630859375</c:v>
                </c:pt>
                <c:pt idx="634">
                  <c:v>6027.81591796875</c:v>
                </c:pt>
                <c:pt idx="635">
                  <c:v>5904.0185546875</c:v>
                </c:pt>
                <c:pt idx="636">
                  <c:v>6025.27734375</c:v>
                </c:pt>
                <c:pt idx="637">
                  <c:v>6113.7314453125</c:v>
                </c:pt>
                <c:pt idx="638">
                  <c:v>6027.1455078125</c:v>
                </c:pt>
                <c:pt idx="639">
                  <c:v>6036.14892578125</c:v>
                </c:pt>
                <c:pt idx="640">
                  <c:v>6043.28466796875</c:v>
                </c:pt>
                <c:pt idx="641">
                  <c:v>5888.119140625</c:v>
                </c:pt>
                <c:pt idx="642">
                  <c:v>6098.4072265625</c:v>
                </c:pt>
                <c:pt idx="643">
                  <c:v>6085.859375</c:v>
                </c:pt>
                <c:pt idx="644">
                  <c:v>6050.75537109375</c:v>
                </c:pt>
                <c:pt idx="645">
                  <c:v>6060.38134765625</c:v>
                </c:pt>
                <c:pt idx="646">
                  <c:v>6052.14501953125</c:v>
                </c:pt>
                <c:pt idx="647">
                  <c:v>6036.24462890625</c:v>
                </c:pt>
                <c:pt idx="648">
                  <c:v>6160.42529296875</c:v>
                </c:pt>
                <c:pt idx="649">
                  <c:v>6113.10986328125</c:v>
                </c:pt>
                <c:pt idx="650">
                  <c:v>6165.357421875</c:v>
                </c:pt>
                <c:pt idx="651">
                  <c:v>6225.93994140625</c:v>
                </c:pt>
                <c:pt idx="652">
                  <c:v>6104.345703125</c:v>
                </c:pt>
                <c:pt idx="653">
                  <c:v>6101.85498046875</c:v>
                </c:pt>
                <c:pt idx="654">
                  <c:v>6167.1298828125</c:v>
                </c:pt>
                <c:pt idx="655">
                  <c:v>6227.61572265625</c:v>
                </c:pt>
                <c:pt idx="656">
                  <c:v>6179.4384765625</c:v>
                </c:pt>
                <c:pt idx="657">
                  <c:v>6125.5615234375</c:v>
                </c:pt>
                <c:pt idx="658">
                  <c:v>6172.01513671875</c:v>
                </c:pt>
                <c:pt idx="659">
                  <c:v>5982.4150390625</c:v>
                </c:pt>
                <c:pt idx="660">
                  <c:v>6059.4716796875</c:v>
                </c:pt>
                <c:pt idx="661">
                  <c:v>6066.2724609375</c:v>
                </c:pt>
                <c:pt idx="662">
                  <c:v>6133.462890625</c:v>
                </c:pt>
                <c:pt idx="663">
                  <c:v>6074.3662109375</c:v>
                </c:pt>
                <c:pt idx="664">
                  <c:v>6138.49169921875</c:v>
                </c:pt>
                <c:pt idx="665">
                  <c:v>6141.89111328125</c:v>
                </c:pt>
                <c:pt idx="666">
                  <c:v>6101.232421875</c:v>
                </c:pt>
                <c:pt idx="667">
                  <c:v>6068.283203125</c:v>
                </c:pt>
                <c:pt idx="668">
                  <c:v>6064.78759765625</c:v>
                </c:pt>
                <c:pt idx="669">
                  <c:v>6043.859375</c:v>
                </c:pt>
                <c:pt idx="670">
                  <c:v>7241.60693359375</c:v>
                </c:pt>
                <c:pt idx="671">
                  <c:v>6958.95556640625</c:v>
                </c:pt>
                <c:pt idx="672">
                  <c:v>6974.80712890625</c:v>
                </c:pt>
                <c:pt idx="673">
                  <c:v>6772.42138671875</c:v>
                </c:pt>
                <c:pt idx="674">
                  <c:v>6631.3828125</c:v>
                </c:pt>
                <c:pt idx="675">
                  <c:v>6776.4921875</c:v>
                </c:pt>
                <c:pt idx="676">
                  <c:v>6793.25341796875</c:v>
                </c:pt>
                <c:pt idx="677">
                  <c:v>6880.845703125</c:v>
                </c:pt>
                <c:pt idx="678">
                  <c:v>7045.68603515625</c:v>
                </c:pt>
                <c:pt idx="679">
                  <c:v>7091.0859375</c:v>
                </c:pt>
                <c:pt idx="680">
                  <c:v>7394.37841796875</c:v>
                </c:pt>
                <c:pt idx="681">
                  <c:v>7831.81201171875</c:v>
                </c:pt>
                <c:pt idx="682">
                  <c:v>7837.84619140625</c:v>
                </c:pt>
                <c:pt idx="683">
                  <c:v>7630.04833984375</c:v>
                </c:pt>
                <c:pt idx="684">
                  <c:v>7705.28466796875</c:v>
                </c:pt>
                <c:pt idx="685">
                  <c:v>7552.94482421875</c:v>
                </c:pt>
                <c:pt idx="686">
                  <c:v>7492.45849609375</c:v>
                </c:pt>
                <c:pt idx="687">
                  <c:v>7584.21728515625</c:v>
                </c:pt>
                <c:pt idx="688">
                  <c:v>7736.36572265625</c:v>
                </c:pt>
                <c:pt idx="689">
                  <c:v>7784.3525390625</c:v>
                </c:pt>
                <c:pt idx="690">
                  <c:v>7605.24169921875</c:v>
                </c:pt>
                <c:pt idx="691">
                  <c:v>7543.94140625</c:v>
                </c:pt>
                <c:pt idx="692">
                  <c:v>7530.626953125</c:v>
                </c:pt>
                <c:pt idx="693">
                  <c:v>7356.017578125</c:v>
                </c:pt>
                <c:pt idx="694">
                  <c:v>7390.451171875</c:v>
                </c:pt>
                <c:pt idx="695">
                  <c:v>7411.6669921875</c:v>
                </c:pt>
                <c:pt idx="696">
                  <c:v>7525.59814453125</c:v>
                </c:pt>
                <c:pt idx="697">
                  <c:v>7516.40380859375</c:v>
                </c:pt>
                <c:pt idx="698">
                  <c:v>7566.498046875</c:v>
                </c:pt>
                <c:pt idx="699">
                  <c:v>7572.67529296875</c:v>
                </c:pt>
                <c:pt idx="700">
                  <c:v>7820.74951171875</c:v>
                </c:pt>
                <c:pt idx="701">
                  <c:v>7818.49853515625</c:v>
                </c:pt>
                <c:pt idx="702">
                  <c:v>8152.009765625</c:v>
                </c:pt>
                <c:pt idx="703">
                  <c:v>8226.9111328125</c:v>
                </c:pt>
                <c:pt idx="704">
                  <c:v>8207.3232421875</c:v>
                </c:pt>
                <c:pt idx="705">
                  <c:v>8197.41015625</c:v>
                </c:pt>
                <c:pt idx="706">
                  <c:v>7998.08837890625</c:v>
                </c:pt>
                <c:pt idx="707">
                  <c:v>8274.7529296875</c:v>
                </c:pt>
                <c:pt idx="708">
                  <c:v>8326.7626953125</c:v>
                </c:pt>
                <c:pt idx="709">
                  <c:v>8512.1005859375</c:v>
                </c:pt>
                <c:pt idx="710">
                  <c:v>8614.107421875</c:v>
                </c:pt>
                <c:pt idx="711">
                  <c:v>8459.609375</c:v>
                </c:pt>
                <c:pt idx="712">
                  <c:v>8554.794921875</c:v>
                </c:pt>
                <c:pt idx="713">
                  <c:v>8359.427734375</c:v>
                </c:pt>
                <c:pt idx="714">
                  <c:v>8492.9560546875</c:v>
                </c:pt>
                <c:pt idx="715">
                  <c:v>8166.68017578125</c:v>
                </c:pt>
                <c:pt idx="716">
                  <c:v>8242.5947265625</c:v>
                </c:pt>
                <c:pt idx="717">
                  <c:v>8342.3896484375</c:v>
                </c:pt>
                <c:pt idx="718">
                  <c:v>8346.8544921875</c:v>
                </c:pt>
                <c:pt idx="719">
                  <c:v>8208.47265625</c:v>
                </c:pt>
                <c:pt idx="720">
                  <c:v>8446.7470703125</c:v>
                </c:pt>
                <c:pt idx="721">
                  <c:v>8343.6025390625</c:v>
                </c:pt>
                <c:pt idx="722">
                  <c:v>8159.39990234375</c:v>
                </c:pt>
                <c:pt idx="723">
                  <c:v>8066.2548828125</c:v>
                </c:pt>
                <c:pt idx="724">
                  <c:v>8329.1396484375</c:v>
                </c:pt>
                <c:pt idx="725">
                  <c:v>8322.73046875</c:v>
                </c:pt>
                <c:pt idx="726">
                  <c:v>8300.5498046875</c:v>
                </c:pt>
                <c:pt idx="727">
                  <c:v>8312.4892578125</c:v>
                </c:pt>
                <c:pt idx="728">
                  <c:v>8468.2978515625</c:v>
                </c:pt>
                <c:pt idx="729">
                  <c:v>8430.875</c:v>
                </c:pt>
                <c:pt idx="730">
                  <c:v>8477.6181640625</c:v>
                </c:pt>
                <c:pt idx="731">
                  <c:v>8271.37890625</c:v>
                </c:pt>
                <c:pt idx="732">
                  <c:v>8342.923828125</c:v>
                </c:pt>
                <c:pt idx="733">
                  <c:v>8120.27783203125</c:v>
                </c:pt>
                <c:pt idx="734">
                  <c:v>8154.302734375</c:v>
                </c:pt>
                <c:pt idx="735">
                  <c:v>8344.5732421875</c:v>
                </c:pt>
                <c:pt idx="736">
                  <c:v>8246.283203125</c:v>
                </c:pt>
                <c:pt idx="737">
                  <c:v>8184.00927734375</c:v>
                </c:pt>
                <c:pt idx="738">
                  <c:v>8370.4931640625</c:v>
                </c:pt>
                <c:pt idx="739">
                  <c:v>8318.314453125</c:v>
                </c:pt>
                <c:pt idx="740">
                  <c:v>8299.8701171875</c:v>
                </c:pt>
                <c:pt idx="741">
                  <c:v>8644.541015625</c:v>
                </c:pt>
                <c:pt idx="742">
                  <c:v>8643.619140625</c:v>
                </c:pt>
                <c:pt idx="743">
                  <c:v>8621.3876953125</c:v>
                </c:pt>
                <c:pt idx="744">
                  <c:v>8630.8056640625</c:v>
                </c:pt>
                <c:pt idx="745">
                  <c:v>8628.9111328125</c:v>
                </c:pt>
                <c:pt idx="746">
                  <c:v>8633.619140625</c:v>
                </c:pt>
                <c:pt idx="747">
                  <c:v>8646.2890625</c:v>
                </c:pt>
                <c:pt idx="748">
                  <c:v>8509.3134765625</c:v>
                </c:pt>
                <c:pt idx="749">
                  <c:v>8634.056640625</c:v>
                </c:pt>
                <c:pt idx="750">
                  <c:v>8611.6318359375</c:v>
                </c:pt>
                <c:pt idx="751">
                  <c:v>8583.2373046875</c:v>
                </c:pt>
                <c:pt idx="752">
                  <c:v>8509.3134765625</c:v>
                </c:pt>
                <c:pt idx="753">
                  <c:v>8414.80859375</c:v>
                </c:pt>
                <c:pt idx="754">
                  <c:v>8443.6416015625</c:v>
                </c:pt>
                <c:pt idx="755">
                  <c:v>8459.076171875</c:v>
                </c:pt>
                <c:pt idx="756">
                  <c:v>8471.1142578125</c:v>
                </c:pt>
                <c:pt idx="757">
                  <c:v>8535.0869140625</c:v>
                </c:pt>
                <c:pt idx="758">
                  <c:v>8397.3349609375</c:v>
                </c:pt>
                <c:pt idx="759">
                  <c:v>8297.685546875</c:v>
                </c:pt>
                <c:pt idx="760">
                  <c:v>8374.5224609375</c:v>
                </c:pt>
                <c:pt idx="761">
                  <c:v>8553.580078125</c:v>
                </c:pt>
                <c:pt idx="762">
                  <c:v>8538.82421875</c:v>
                </c:pt>
                <c:pt idx="763">
                  <c:v>8540.0869140625</c:v>
                </c:pt>
                <c:pt idx="764">
                  <c:v>8475.3837890625</c:v>
                </c:pt>
                <c:pt idx="765">
                  <c:v>8448.8349609375</c:v>
                </c:pt>
                <c:pt idx="766">
                  <c:v>8431.2138671875</c:v>
                </c:pt>
                <c:pt idx="767">
                  <c:v>8343.1171875</c:v>
                </c:pt>
                <c:pt idx="768">
                  <c:v>8339.3310546875</c:v>
                </c:pt>
                <c:pt idx="769">
                  <c:v>8407.576171875</c:v>
                </c:pt>
                <c:pt idx="770">
                  <c:v>8261.427734375</c:v>
                </c:pt>
                <c:pt idx="771">
                  <c:v>8278.2216796875</c:v>
                </c:pt>
                <c:pt idx="772">
                  <c:v>8227.4990234375</c:v>
                </c:pt>
                <c:pt idx="773">
                  <c:v>8203.3759765625</c:v>
                </c:pt>
                <c:pt idx="774">
                  <c:v>8345.0595703125</c:v>
                </c:pt>
                <c:pt idx="775">
                  <c:v>8262.7861328125</c:v>
                </c:pt>
                <c:pt idx="776">
                  <c:v>8303.169921875</c:v>
                </c:pt>
                <c:pt idx="777">
                  <c:v>8349.087890625</c:v>
                </c:pt>
                <c:pt idx="778">
                  <c:v>8534.9892578125</c:v>
                </c:pt>
                <c:pt idx="779">
                  <c:v>8535.6689453125</c:v>
                </c:pt>
                <c:pt idx="780">
                  <c:v>8566.296875</c:v>
                </c:pt>
                <c:pt idx="781">
                  <c:v>8623.330078125</c:v>
                </c:pt>
                <c:pt idx="782">
                  <c:v>8572.7529296875</c:v>
                </c:pt>
                <c:pt idx="783">
                  <c:v>8493.3427734375</c:v>
                </c:pt>
                <c:pt idx="784">
                  <c:v>8454.0771484375</c:v>
                </c:pt>
                <c:pt idx="785">
                  <c:v>8398.306640625</c:v>
                </c:pt>
                <c:pt idx="786">
                  <c:v>8246.6240234375</c:v>
                </c:pt>
                <c:pt idx="787">
                  <c:v>8202.9873046875</c:v>
                </c:pt>
                <c:pt idx="788">
                  <c:v>8222.5</c:v>
                </c:pt>
                <c:pt idx="789">
                  <c:v>8229.974609375</c:v>
                </c:pt>
                <c:pt idx="790">
                  <c:v>8280.115234375</c:v>
                </c:pt>
                <c:pt idx="791">
                  <c:v>8267.30078125</c:v>
                </c:pt>
                <c:pt idx="792">
                  <c:v>8247.4970703125</c:v>
                </c:pt>
                <c:pt idx="793">
                  <c:v>8227.7900390625</c:v>
                </c:pt>
                <c:pt idx="794">
                  <c:v>8060.18798828125</c:v>
                </c:pt>
                <c:pt idx="795">
                  <c:v>8250.021484375</c:v>
                </c:pt>
                <c:pt idx="796">
                  <c:v>8263.5146484375</c:v>
                </c:pt>
                <c:pt idx="797">
                  <c:v>8263.5146484375</c:v>
                </c:pt>
                <c:pt idx="798">
                  <c:v>8220.1708984375</c:v>
                </c:pt>
                <c:pt idx="799">
                  <c:v>8154.01220703125</c:v>
                </c:pt>
                <c:pt idx="800">
                  <c:v>8152.36181640625</c:v>
                </c:pt>
                <c:pt idx="801">
                  <c:v>8184.93115234375</c:v>
                </c:pt>
                <c:pt idx="802">
                  <c:v>8388.5986328125</c:v>
                </c:pt>
                <c:pt idx="803">
                  <c:v>8381.8505859375</c:v>
                </c:pt>
                <c:pt idx="804">
                  <c:v>8407.7705078125</c:v>
                </c:pt>
                <c:pt idx="805">
                  <c:v>8398.16015625</c:v>
                </c:pt>
                <c:pt idx="806">
                  <c:v>8497.615234375</c:v>
                </c:pt>
                <c:pt idx="807">
                  <c:v>8667.451171875</c:v>
                </c:pt>
                <c:pt idx="808">
                  <c:v>8727.10546875</c:v>
                </c:pt>
                <c:pt idx="809">
                  <c:v>8734.2392578125</c:v>
                </c:pt>
                <c:pt idx="810">
                  <c:v>8691.33203125</c:v>
                </c:pt>
                <c:pt idx="811">
                  <c:v>8690.361328125</c:v>
                </c:pt>
                <c:pt idx="812">
                  <c:v>8688.80859375</c:v>
                </c:pt>
                <c:pt idx="813">
                  <c:v>8687.44921875</c:v>
                </c:pt>
                <c:pt idx="814">
                  <c:v>8785.8369140625</c:v>
                </c:pt>
                <c:pt idx="815">
                  <c:v>8797.048828125</c:v>
                </c:pt>
                <c:pt idx="816">
                  <c:v>8787.0986328125</c:v>
                </c:pt>
                <c:pt idx="817">
                  <c:v>8804.0380859375</c:v>
                </c:pt>
                <c:pt idx="818">
                  <c:v>8777.2939453125</c:v>
                </c:pt>
                <c:pt idx="819">
                  <c:v>8692.44921875</c:v>
                </c:pt>
                <c:pt idx="820">
                  <c:v>8774.9638671875</c:v>
                </c:pt>
                <c:pt idx="821">
                  <c:v>8743.1220703125</c:v>
                </c:pt>
                <c:pt idx="822">
                  <c:v>8907.9111328125</c:v>
                </c:pt>
                <c:pt idx="823">
                  <c:v>8879.466796875</c:v>
                </c:pt>
                <c:pt idx="824">
                  <c:v>8799.0380859375</c:v>
                </c:pt>
                <c:pt idx="825">
                  <c:v>8667.7900390625</c:v>
                </c:pt>
                <c:pt idx="826">
                  <c:v>8282.6865234375</c:v>
                </c:pt>
                <c:pt idx="827">
                  <c:v>8442.4765625</c:v>
                </c:pt>
                <c:pt idx="828">
                  <c:v>8432.0888671875</c:v>
                </c:pt>
                <c:pt idx="829">
                  <c:v>8485.9658203125</c:v>
                </c:pt>
                <c:pt idx="830">
                  <c:v>8489.12109375</c:v>
                </c:pt>
                <c:pt idx="831">
                  <c:v>8501.0615234375</c:v>
                </c:pt>
                <c:pt idx="832">
                  <c:v>8527.078125</c:v>
                </c:pt>
                <c:pt idx="833">
                  <c:v>8383.2587890625</c:v>
                </c:pt>
                <c:pt idx="834">
                  <c:v>8445.630859375</c:v>
                </c:pt>
                <c:pt idx="835">
                  <c:v>8351.078125</c:v>
                </c:pt>
                <c:pt idx="836">
                  <c:v>8314.9169921875</c:v>
                </c:pt>
                <c:pt idx="837">
                  <c:v>8226.28515625</c:v>
                </c:pt>
                <c:pt idx="838">
                  <c:v>8335.158203125</c:v>
                </c:pt>
                <c:pt idx="839">
                  <c:v>8311.4228515625</c:v>
                </c:pt>
                <c:pt idx="840">
                  <c:v>8119.35595703125</c:v>
                </c:pt>
                <c:pt idx="841">
                  <c:v>8348.1171875</c:v>
                </c:pt>
                <c:pt idx="842">
                  <c:v>8496.2080078125</c:v>
                </c:pt>
                <c:pt idx="843">
                  <c:v>8454.1728515625</c:v>
                </c:pt>
                <c:pt idx="844">
                  <c:v>8267.05859375</c:v>
                </c:pt>
                <c:pt idx="845">
                  <c:v>8347.9228515625</c:v>
                </c:pt>
                <c:pt idx="846">
                  <c:v>8164.59375</c:v>
                </c:pt>
                <c:pt idx="847">
                  <c:v>8008.68798828125</c:v>
                </c:pt>
                <c:pt idx="848">
                  <c:v>7924.6201171875</c:v>
                </c:pt>
                <c:pt idx="849">
                  <c:v>7758.7158203125</c:v>
                </c:pt>
                <c:pt idx="850">
                  <c:v>7434.47900390625</c:v>
                </c:pt>
                <c:pt idx="851">
                  <c:v>7226.4921875</c:v>
                </c:pt>
                <c:pt idx="852">
                  <c:v>7003.2158203125</c:v>
                </c:pt>
                <c:pt idx="853">
                  <c:v>7129.31787109375</c:v>
                </c:pt>
                <c:pt idx="854">
                  <c:v>7381.66943359375</c:v>
                </c:pt>
                <c:pt idx="855">
                  <c:v>7326.966796875</c:v>
                </c:pt>
                <c:pt idx="856">
                  <c:v>7385.552734375</c:v>
                </c:pt>
                <c:pt idx="857">
                  <c:v>7616.93505859375</c:v>
                </c:pt>
                <c:pt idx="858">
                  <c:v>7451.41845703125</c:v>
                </c:pt>
                <c:pt idx="859">
                  <c:v>7278.57373046875</c:v>
                </c:pt>
                <c:pt idx="860">
                  <c:v>7384.33935546875</c:v>
                </c:pt>
                <c:pt idx="861">
                  <c:v>7188.63232421875</c:v>
                </c:pt>
                <c:pt idx="862">
                  <c:v>7082.62451171875</c:v>
                </c:pt>
                <c:pt idx="863">
                  <c:v>7183.7294921875</c:v>
                </c:pt>
                <c:pt idx="864">
                  <c:v>7136.45361328125</c:v>
                </c:pt>
                <c:pt idx="865">
                  <c:v>7139.65673828125</c:v>
                </c:pt>
                <c:pt idx="866">
                  <c:v>7169.89599609375</c:v>
                </c:pt>
                <c:pt idx="867">
                  <c:v>7084.12939453125</c:v>
                </c:pt>
                <c:pt idx="868">
                  <c:v>7148.10302734375</c:v>
                </c:pt>
                <c:pt idx="869">
                  <c:v>7121.1640625</c:v>
                </c:pt>
                <c:pt idx="870">
                  <c:v>6998.16748046875</c:v>
                </c:pt>
                <c:pt idx="871">
                  <c:v>7092.5263671875</c:v>
                </c:pt>
                <c:pt idx="872">
                  <c:v>7072.673828125</c:v>
                </c:pt>
                <c:pt idx="873">
                  <c:v>7076.8486328125</c:v>
                </c:pt>
                <c:pt idx="874">
                  <c:v>7165.236328125</c:v>
                </c:pt>
                <c:pt idx="875">
                  <c:v>7106.55322265625</c:v>
                </c:pt>
                <c:pt idx="876">
                  <c:v>7031.75634765625</c:v>
                </c:pt>
                <c:pt idx="877">
                  <c:v>7029.9599609375</c:v>
                </c:pt>
                <c:pt idx="878">
                  <c:v>7003.4091796875</c:v>
                </c:pt>
                <c:pt idx="879">
                  <c:v>7130.67724609375</c:v>
                </c:pt>
                <c:pt idx="880">
                  <c:v>7337.49951171875</c:v>
                </c:pt>
                <c:pt idx="881">
                  <c:v>7355.2646484375</c:v>
                </c:pt>
                <c:pt idx="882">
                  <c:v>7389.62939453125</c:v>
                </c:pt>
                <c:pt idx="883">
                  <c:v>7324.34521484375</c:v>
                </c:pt>
                <c:pt idx="884">
                  <c:v>7370.79638671875</c:v>
                </c:pt>
                <c:pt idx="885">
                  <c:v>7352.837890625</c:v>
                </c:pt>
                <c:pt idx="886">
                  <c:v>7426.27587890625</c:v>
                </c:pt>
                <c:pt idx="887">
                  <c:v>7593.53955078125</c:v>
                </c:pt>
                <c:pt idx="888">
                  <c:v>7698.67333984375</c:v>
                </c:pt>
                <c:pt idx="889">
                  <c:v>7741.53271484375</c:v>
                </c:pt>
                <c:pt idx="890">
                  <c:v>7713.4775390625</c:v>
                </c:pt>
                <c:pt idx="891">
                  <c:v>7744.5908203125</c:v>
                </c:pt>
                <c:pt idx="892">
                  <c:v>7870.5966796875</c:v>
                </c:pt>
                <c:pt idx="893">
                  <c:v>7809.29296875</c:v>
                </c:pt>
                <c:pt idx="894">
                  <c:v>7679.06396484375</c:v>
                </c:pt>
                <c:pt idx="895">
                  <c:v>7660.2802734375</c:v>
                </c:pt>
                <c:pt idx="896">
                  <c:v>7789.7802734375</c:v>
                </c:pt>
                <c:pt idx="897">
                  <c:v>7762.30712890625</c:v>
                </c:pt>
                <c:pt idx="898">
                  <c:v>7756.43408203125</c:v>
                </c:pt>
                <c:pt idx="899">
                  <c:v>7774.29638671875</c:v>
                </c:pt>
                <c:pt idx="900">
                  <c:v>7769.05419921875</c:v>
                </c:pt>
                <c:pt idx="901">
                  <c:v>7841.1337890625</c:v>
                </c:pt>
                <c:pt idx="902">
                  <c:v>7740.173828125</c:v>
                </c:pt>
                <c:pt idx="903">
                  <c:v>7746.7265625</c:v>
                </c:pt>
                <c:pt idx="904">
                  <c:v>7784.44091796875</c:v>
                </c:pt>
                <c:pt idx="905">
                  <c:v>7801.38037109375</c:v>
                </c:pt>
                <c:pt idx="906">
                  <c:v>7757.11376953125</c:v>
                </c:pt>
                <c:pt idx="907">
                  <c:v>7754.4443359375</c:v>
                </c:pt>
                <c:pt idx="908">
                  <c:v>7674.79248046875</c:v>
                </c:pt>
                <c:pt idx="909">
                  <c:v>7540.05029296875</c:v>
                </c:pt>
                <c:pt idx="910">
                  <c:v>7552.2333984375</c:v>
                </c:pt>
                <c:pt idx="911">
                  <c:v>7525.876953125</c:v>
                </c:pt>
                <c:pt idx="912">
                  <c:v>7670.37548828125</c:v>
                </c:pt>
                <c:pt idx="913">
                  <c:v>7728.33056640625</c:v>
                </c:pt>
                <c:pt idx="914">
                  <c:v>7702.556640625</c:v>
                </c:pt>
                <c:pt idx="915">
                  <c:v>7730.80615234375</c:v>
                </c:pt>
                <c:pt idx="916">
                  <c:v>7705.03173828125</c:v>
                </c:pt>
                <c:pt idx="917">
                  <c:v>7715.51611328125</c:v>
                </c:pt>
                <c:pt idx="918">
                  <c:v>7684.7431640625</c:v>
                </c:pt>
                <c:pt idx="919">
                  <c:v>7635.2333984375</c:v>
                </c:pt>
                <c:pt idx="920">
                  <c:v>7630.8173828125</c:v>
                </c:pt>
                <c:pt idx="921">
                  <c:v>7609.36279296875</c:v>
                </c:pt>
                <c:pt idx="922">
                  <c:v>7603.392578125</c:v>
                </c:pt>
                <c:pt idx="923">
                  <c:v>7601.49951171875</c:v>
                </c:pt>
                <c:pt idx="924">
                  <c:v>7691.5380859375</c:v>
                </c:pt>
                <c:pt idx="925">
                  <c:v>7722.65185546875</c:v>
                </c:pt>
                <c:pt idx="926">
                  <c:v>7658.8720703125</c:v>
                </c:pt>
                <c:pt idx="927">
                  <c:v>7672.123046875</c:v>
                </c:pt>
                <c:pt idx="928">
                  <c:v>7636.83544921875</c:v>
                </c:pt>
                <c:pt idx="929">
                  <c:v>7644.94140625</c:v>
                </c:pt>
                <c:pt idx="930">
                  <c:v>7595.529296875</c:v>
                </c:pt>
                <c:pt idx="931">
                  <c:v>7572.1826171875</c:v>
                </c:pt>
                <c:pt idx="932">
                  <c:v>7629.84619140625</c:v>
                </c:pt>
                <c:pt idx="933">
                  <c:v>7726.486328125</c:v>
                </c:pt>
                <c:pt idx="934">
                  <c:v>7797.06103515625</c:v>
                </c:pt>
                <c:pt idx="935">
                  <c:v>7838.26953125</c:v>
                </c:pt>
                <c:pt idx="936">
                  <c:v>7832.9306640625</c:v>
                </c:pt>
                <c:pt idx="937">
                  <c:v>7878.36279296875</c:v>
                </c:pt>
                <c:pt idx="938">
                  <c:v>7895.0595703125</c:v>
                </c:pt>
                <c:pt idx="939">
                  <c:v>8234.876953125</c:v>
                </c:pt>
                <c:pt idx="940">
                  <c:v>8204.2001953125</c:v>
                </c:pt>
                <c:pt idx="941">
                  <c:v>8166.92333984375</c:v>
                </c:pt>
                <c:pt idx="942">
                  <c:v>8283.318359375</c:v>
                </c:pt>
                <c:pt idx="943">
                  <c:v>8480.91796875</c:v>
                </c:pt>
                <c:pt idx="944">
                  <c:v>8962.953125</c:v>
                </c:pt>
                <c:pt idx="945">
                  <c:v>8960.57421875</c:v>
                </c:pt>
                <c:pt idx="946">
                  <c:v>8917.8115234375</c:v>
                </c:pt>
                <c:pt idx="947">
                  <c:v>8948.876953125</c:v>
                </c:pt>
                <c:pt idx="948">
                  <c:v>9034.4013671875</c:v>
                </c:pt>
                <c:pt idx="949">
                  <c:v>9331.5048828125</c:v>
                </c:pt>
                <c:pt idx="950">
                  <c:v>9402.8076171875</c:v>
                </c:pt>
                <c:pt idx="951">
                  <c:v>9400.8662109375</c:v>
                </c:pt>
                <c:pt idx="952">
                  <c:v>9403.1474609375</c:v>
                </c:pt>
                <c:pt idx="953">
                  <c:v>9362.083984375</c:v>
                </c:pt>
                <c:pt idx="954">
                  <c:v>9263.6484375</c:v>
                </c:pt>
                <c:pt idx="955">
                  <c:v>9264.23046875</c:v>
                </c:pt>
                <c:pt idx="956">
                  <c:v>9237.09765625</c:v>
                </c:pt>
                <c:pt idx="957">
                  <c:v>9172.15234375</c:v>
                </c:pt>
                <c:pt idx="958">
                  <c:v>9124.9736328125</c:v>
                </c:pt>
                <c:pt idx="959">
                  <c:v>9039.9345703125</c:v>
                </c:pt>
                <c:pt idx="960">
                  <c:v>9099.7822265625</c:v>
                </c:pt>
                <c:pt idx="961">
                  <c:v>9071.8251953125</c:v>
                </c:pt>
                <c:pt idx="962">
                  <c:v>8894.9736328125</c:v>
                </c:pt>
                <c:pt idx="963">
                  <c:v>8818.73046875</c:v>
                </c:pt>
                <c:pt idx="964">
                  <c:v>8677.4658203125</c:v>
                </c:pt>
                <c:pt idx="965">
                  <c:v>8860.765625</c:v>
                </c:pt>
                <c:pt idx="966">
                  <c:v>8857.025390625</c:v>
                </c:pt>
                <c:pt idx="967">
                  <c:v>8562.4375</c:v>
                </c:pt>
                <c:pt idx="968">
                  <c:v>8440.369140625</c:v>
                </c:pt>
                <c:pt idx="969">
                  <c:v>8572.6259765625</c:v>
                </c:pt>
                <c:pt idx="970">
                  <c:v>8469.5078125</c:v>
                </c:pt>
                <c:pt idx="971">
                  <c:v>8444.50390625</c:v>
                </c:pt>
                <c:pt idx="972">
                  <c:v>8400.205078125</c:v>
                </c:pt>
                <c:pt idx="973">
                  <c:v>8677.8603515625</c:v>
                </c:pt>
                <c:pt idx="974">
                  <c:v>8560.9609375</c:v>
                </c:pt>
                <c:pt idx="975">
                  <c:v>8707.2939453125</c:v>
                </c:pt>
                <c:pt idx="976">
                  <c:v>8733.283203125</c:v>
                </c:pt>
                <c:pt idx="977">
                  <c:v>8665.3095703125</c:v>
                </c:pt>
                <c:pt idx="978">
                  <c:v>8512.9697265625</c:v>
                </c:pt>
                <c:pt idx="979">
                  <c:v>8665.505859375</c:v>
                </c:pt>
                <c:pt idx="980">
                  <c:v>8855.3515625</c:v>
                </c:pt>
                <c:pt idx="981">
                  <c:v>8827.8369140625</c:v>
                </c:pt>
                <c:pt idx="982">
                  <c:v>8747.3115234375</c:v>
                </c:pt>
                <c:pt idx="983">
                  <c:v>8761.3388671875</c:v>
                </c:pt>
                <c:pt idx="984">
                  <c:v>8845.1630859375</c:v>
                </c:pt>
                <c:pt idx="985">
                  <c:v>8906.146484375</c:v>
                </c:pt>
                <c:pt idx="986">
                  <c:v>8954.53125</c:v>
                </c:pt>
                <c:pt idx="987">
                  <c:v>8943.3583984375</c:v>
                </c:pt>
                <c:pt idx="988">
                  <c:v>8893.595703125</c:v>
                </c:pt>
                <c:pt idx="989">
                  <c:v>8891.578125</c:v>
                </c:pt>
                <c:pt idx="990">
                  <c:v>8855.0068359375</c:v>
                </c:pt>
                <c:pt idx="991">
                  <c:v>8849.248046875</c:v>
                </c:pt>
                <c:pt idx="992">
                  <c:v>8843.9326171875</c:v>
                </c:pt>
                <c:pt idx="993">
                  <c:v>8784.3251953125</c:v>
                </c:pt>
                <c:pt idx="994">
                  <c:v>8778.8125</c:v>
                </c:pt>
                <c:pt idx="995">
                  <c:v>8829.166015625</c:v>
                </c:pt>
                <c:pt idx="996">
                  <c:v>8827.8857421875</c:v>
                </c:pt>
                <c:pt idx="997">
                  <c:v>8820.20703125</c:v>
                </c:pt>
                <c:pt idx="998">
                  <c:v>8815.8759765625</c:v>
                </c:pt>
                <c:pt idx="999">
                  <c:v>8693.462890625</c:v>
                </c:pt>
                <c:pt idx="1000">
                  <c:v>8709.3125</c:v>
                </c:pt>
                <c:pt idx="1001">
                  <c:v>8636.0712890625</c:v>
                </c:pt>
                <c:pt idx="1002">
                  <c:v>8685.8828125</c:v>
                </c:pt>
                <c:pt idx="1003">
                  <c:v>8580.5498046875</c:v>
                </c:pt>
                <c:pt idx="1004">
                  <c:v>8645.275390625</c:v>
                </c:pt>
                <c:pt idx="1005">
                  <c:v>8635.875</c:v>
                </c:pt>
                <c:pt idx="1006">
                  <c:v>8676.4814453125</c:v>
                </c:pt>
                <c:pt idx="1007">
                  <c:v>8681.5517578125</c:v>
                </c:pt>
                <c:pt idx="1008">
                  <c:v>8542.1572265625</c:v>
                </c:pt>
                <c:pt idx="1009">
                  <c:v>8506.2763671875</c:v>
                </c:pt>
                <c:pt idx="1010">
                  <c:v>8463.5029296875</c:v>
                </c:pt>
                <c:pt idx="1011">
                  <c:v>8517.646484375</c:v>
                </c:pt>
                <c:pt idx="1012">
                  <c:v>8503.1259765625</c:v>
                </c:pt>
                <c:pt idx="1013">
                  <c:v>8584.5380859375</c:v>
                </c:pt>
                <c:pt idx="1014">
                  <c:v>8585.7177734375</c:v>
                </c:pt>
                <c:pt idx="1015">
                  <c:v>8575.283203125</c:v>
                </c:pt>
                <c:pt idx="1016">
                  <c:v>8551.263671875</c:v>
                </c:pt>
                <c:pt idx="1017">
                  <c:v>8551.263671875</c:v>
                </c:pt>
                <c:pt idx="1018">
                  <c:v>8564.50390625</c:v>
                </c:pt>
                <c:pt idx="1019">
                  <c:v>8584.5380859375</c:v>
                </c:pt>
                <c:pt idx="1020">
                  <c:v>8608.212890625</c:v>
                </c:pt>
                <c:pt idx="1021">
                  <c:v>8837.779296875</c:v>
                </c:pt>
                <c:pt idx="1022">
                  <c:v>8719.0087890625</c:v>
                </c:pt>
                <c:pt idx="1023">
                  <c:v>8698.4345703125</c:v>
                </c:pt>
                <c:pt idx="1024">
                  <c:v>8658.171875</c:v>
                </c:pt>
                <c:pt idx="1025">
                  <c:v>8795.44921875</c:v>
                </c:pt>
                <c:pt idx="1026">
                  <c:v>8698.1884765625</c:v>
                </c:pt>
                <c:pt idx="1027">
                  <c:v>8533.9384765625</c:v>
                </c:pt>
                <c:pt idx="1028">
                  <c:v>8484.5693359375</c:v>
                </c:pt>
                <c:pt idx="1029">
                  <c:v>8486.341796875</c:v>
                </c:pt>
                <c:pt idx="1030">
                  <c:v>8454.2490234375</c:v>
                </c:pt>
                <c:pt idx="1031">
                  <c:v>8443.173828125</c:v>
                </c:pt>
                <c:pt idx="1032">
                  <c:v>8340.9423828125</c:v>
                </c:pt>
                <c:pt idx="1033">
                  <c:v>8247.2744140625</c:v>
                </c:pt>
                <c:pt idx="1034">
                  <c:v>8198.9404296875</c:v>
                </c:pt>
                <c:pt idx="1035">
                  <c:v>8206.470703125</c:v>
                </c:pt>
                <c:pt idx="1036">
                  <c:v>7875.41015625</c:v>
                </c:pt>
                <c:pt idx="1037">
                  <c:v>7876.68994140625</c:v>
                </c:pt>
                <c:pt idx="1038">
                  <c:v>8044.09033203125</c:v>
                </c:pt>
                <c:pt idx="1039">
                  <c:v>8096.26513671875</c:v>
                </c:pt>
                <c:pt idx="1040">
                  <c:v>8014.45947265625</c:v>
                </c:pt>
                <c:pt idx="1041">
                  <c:v>7948.306640625</c:v>
                </c:pt>
                <c:pt idx="1042">
                  <c:v>8036.46142578125</c:v>
                </c:pt>
                <c:pt idx="1043">
                  <c:v>8043.25341796875</c:v>
                </c:pt>
                <c:pt idx="1044">
                  <c:v>7882.498046875</c:v>
                </c:pt>
                <c:pt idx="1045">
                  <c:v>7899.92236328125</c:v>
                </c:pt>
                <c:pt idx="1046">
                  <c:v>7696.83642578125</c:v>
                </c:pt>
                <c:pt idx="1047">
                  <c:v>7752.75146484375</c:v>
                </c:pt>
                <c:pt idx="1048">
                  <c:v>7866.2060546875</c:v>
                </c:pt>
                <c:pt idx="1049">
                  <c:v>7835.541015625</c:v>
                </c:pt>
                <c:pt idx="1050">
                  <c:v>7817.919921875</c:v>
                </c:pt>
                <c:pt idx="1051">
                  <c:v>8062.94189453125</c:v>
                </c:pt>
                <c:pt idx="1052">
                  <c:v>8420.0400390625</c:v>
                </c:pt>
                <c:pt idx="1053">
                  <c:v>8402.419921875</c:v>
                </c:pt>
                <c:pt idx="1054">
                  <c:v>8178.66064453125</c:v>
                </c:pt>
                <c:pt idx="1055">
                  <c:v>7984.82861328125</c:v>
                </c:pt>
                <c:pt idx="1056">
                  <c:v>7991.0302734375</c:v>
                </c:pt>
                <c:pt idx="1057">
                  <c:v>7997.42919921875</c:v>
                </c:pt>
                <c:pt idx="1058">
                  <c:v>7984.287109375</c:v>
                </c:pt>
                <c:pt idx="1059">
                  <c:v>7927.3876953125</c:v>
                </c:pt>
                <c:pt idx="1060">
                  <c:v>7986.9453125</c:v>
                </c:pt>
                <c:pt idx="1061">
                  <c:v>8025.09130859375</c:v>
                </c:pt>
                <c:pt idx="1062">
                  <c:v>8214.3955078125</c:v>
                </c:pt>
                <c:pt idx="1063">
                  <c:v>8130.9658203125</c:v>
                </c:pt>
                <c:pt idx="1064">
                  <c:v>7946.87890625</c:v>
                </c:pt>
                <c:pt idx="1065">
                  <c:v>7976.90380859375</c:v>
                </c:pt>
                <c:pt idx="1066">
                  <c:v>8036.412109375</c:v>
                </c:pt>
                <c:pt idx="1067">
                  <c:v>7973.4091796875</c:v>
                </c:pt>
                <c:pt idx="1068">
                  <c:v>7746.79541015625</c:v>
                </c:pt>
                <c:pt idx="1069">
                  <c:v>7758.70703125</c:v>
                </c:pt>
                <c:pt idx="1070">
                  <c:v>7820.2333984375</c:v>
                </c:pt>
                <c:pt idx="1071">
                  <c:v>7787.35400390625</c:v>
                </c:pt>
                <c:pt idx="1072">
                  <c:v>7702.98876953125</c:v>
                </c:pt>
                <c:pt idx="1073">
                  <c:v>7628.9111328125</c:v>
                </c:pt>
                <c:pt idx="1074">
                  <c:v>7592.63525390625</c:v>
                </c:pt>
                <c:pt idx="1075">
                  <c:v>7702.05419921875</c:v>
                </c:pt>
                <c:pt idx="1076">
                  <c:v>7628.8623046875</c:v>
                </c:pt>
                <c:pt idx="1077">
                  <c:v>7641.1181640625</c:v>
                </c:pt>
                <c:pt idx="1078">
                  <c:v>7499.3125</c:v>
                </c:pt>
                <c:pt idx="1079">
                  <c:v>7386.94091796875</c:v>
                </c:pt>
                <c:pt idx="1080">
                  <c:v>7500.8876953125</c:v>
                </c:pt>
                <c:pt idx="1081">
                  <c:v>7502.31494140625</c:v>
                </c:pt>
                <c:pt idx="1082">
                  <c:v>7553.25830078125</c:v>
                </c:pt>
                <c:pt idx="1083">
                  <c:v>7761.7587890625</c:v>
                </c:pt>
                <c:pt idx="1084">
                  <c:v>7591.65087890625</c:v>
                </c:pt>
                <c:pt idx="1085">
                  <c:v>7403.82373046875</c:v>
                </c:pt>
                <c:pt idx="1086">
                  <c:v>7384.6767578125</c:v>
                </c:pt>
                <c:pt idx="1087">
                  <c:v>7451.125</c:v>
                </c:pt>
                <c:pt idx="1088">
                  <c:v>7439.853515625</c:v>
                </c:pt>
                <c:pt idx="1089">
                  <c:v>7383.15087890625</c:v>
                </c:pt>
                <c:pt idx="1090">
                  <c:v>7410.517578125</c:v>
                </c:pt>
                <c:pt idx="1091">
                  <c:v>7416.818359375</c:v>
                </c:pt>
                <c:pt idx="1092">
                  <c:v>7353.17529296875</c:v>
                </c:pt>
                <c:pt idx="1093">
                  <c:v>7375.66943359375</c:v>
                </c:pt>
                <c:pt idx="1094">
                  <c:v>7395.6533203125</c:v>
                </c:pt>
                <c:pt idx="1095">
                  <c:v>7255.27490234375</c:v>
                </c:pt>
                <c:pt idx="1096">
                  <c:v>7261.3779296875</c:v>
                </c:pt>
                <c:pt idx="1097">
                  <c:v>7193.55126953125</c:v>
                </c:pt>
                <c:pt idx="1098">
                  <c:v>7162.0009765625</c:v>
                </c:pt>
                <c:pt idx="1099">
                  <c:v>7087.67724609375</c:v>
                </c:pt>
                <c:pt idx="1100">
                  <c:v>7201.525390625</c:v>
                </c:pt>
                <c:pt idx="1101">
                  <c:v>7092.0576171875</c:v>
                </c:pt>
                <c:pt idx="1102">
                  <c:v>7138.375</c:v>
                </c:pt>
                <c:pt idx="1103">
                  <c:v>7084.97021484375</c:v>
                </c:pt>
                <c:pt idx="1104">
                  <c:v>7154.96240234375</c:v>
                </c:pt>
                <c:pt idx="1105">
                  <c:v>7234.01123046875</c:v>
                </c:pt>
                <c:pt idx="1106">
                  <c:v>7144.52734375</c:v>
                </c:pt>
                <c:pt idx="1107">
                  <c:v>7098.505859375</c:v>
                </c:pt>
                <c:pt idx="1108">
                  <c:v>7105.49560546875</c:v>
                </c:pt>
                <c:pt idx="1109">
                  <c:v>7049.77734375</c:v>
                </c:pt>
                <c:pt idx="1110">
                  <c:v>7067.34912109375</c:v>
                </c:pt>
                <c:pt idx="1111">
                  <c:v>7366.21875</c:v>
                </c:pt>
                <c:pt idx="1112">
                  <c:v>7423.31494140625</c:v>
                </c:pt>
                <c:pt idx="1113">
                  <c:v>7356.423828125</c:v>
                </c:pt>
                <c:pt idx="1114">
                  <c:v>7371.9775390625</c:v>
                </c:pt>
                <c:pt idx="1115">
                  <c:v>7334.56982421875</c:v>
                </c:pt>
                <c:pt idx="1116">
                  <c:v>7372.9619140625</c:v>
                </c:pt>
                <c:pt idx="1117">
                  <c:v>7266.2509765625</c:v>
                </c:pt>
                <c:pt idx="1118">
                  <c:v>7436.5556640625</c:v>
                </c:pt>
                <c:pt idx="1119">
                  <c:v>7405.841796875</c:v>
                </c:pt>
                <c:pt idx="1120">
                  <c:v>7335.111328125</c:v>
                </c:pt>
                <c:pt idx="1121">
                  <c:v>7429.51708984375</c:v>
                </c:pt>
                <c:pt idx="1122">
                  <c:v>7447.63037109375</c:v>
                </c:pt>
                <c:pt idx="1123">
                  <c:v>7479.72265625</c:v>
                </c:pt>
                <c:pt idx="1124">
                  <c:v>7339.44287109375</c:v>
                </c:pt>
                <c:pt idx="1125">
                  <c:v>7326.79296875</c:v>
                </c:pt>
                <c:pt idx="1126">
                  <c:v>7218.85107421875</c:v>
                </c:pt>
                <c:pt idx="1127">
                  <c:v>7265.857421875</c:v>
                </c:pt>
                <c:pt idx="1128">
                  <c:v>7370.89453125</c:v>
                </c:pt>
                <c:pt idx="1129">
                  <c:v>7479.1806640625</c:v>
                </c:pt>
                <c:pt idx="1130">
                  <c:v>7465.44873046875</c:v>
                </c:pt>
                <c:pt idx="1131">
                  <c:v>7457.91796875</c:v>
                </c:pt>
                <c:pt idx="1132">
                  <c:v>7467.81103515625</c:v>
                </c:pt>
                <c:pt idx="1133">
                  <c:v>7465.94091796875</c:v>
                </c:pt>
                <c:pt idx="1134">
                  <c:v>7446.25244140625</c:v>
                </c:pt>
                <c:pt idx="1135">
                  <c:v>7469.53369140625</c:v>
                </c:pt>
                <c:pt idx="1136">
                  <c:v>7452.9462890625</c:v>
                </c:pt>
                <c:pt idx="1137">
                  <c:v>7468.20458984375</c:v>
                </c:pt>
                <c:pt idx="1138">
                  <c:v>7372.86328125</c:v>
                </c:pt>
                <c:pt idx="1139">
                  <c:v>7459.0498046875</c:v>
                </c:pt>
                <c:pt idx="1140">
                  <c:v>7350.1240234375</c:v>
                </c:pt>
                <c:pt idx="1141">
                  <c:v>7382.75732421875</c:v>
                </c:pt>
                <c:pt idx="1142">
                  <c:v>7351.05859375</c:v>
                </c:pt>
                <c:pt idx="1143">
                  <c:v>7378.37646484375</c:v>
                </c:pt>
                <c:pt idx="1144">
                  <c:v>7328.318359375</c:v>
                </c:pt>
                <c:pt idx="1145">
                  <c:v>7295.68505859375</c:v>
                </c:pt>
                <c:pt idx="1146">
                  <c:v>7247.990234375</c:v>
                </c:pt>
                <c:pt idx="1147">
                  <c:v>7238.3427734375</c:v>
                </c:pt>
                <c:pt idx="1148">
                  <c:v>7314.24169921875</c:v>
                </c:pt>
                <c:pt idx="1149">
                  <c:v>7370.6982421875</c:v>
                </c:pt>
                <c:pt idx="1150">
                  <c:v>7232.18994140625</c:v>
                </c:pt>
                <c:pt idx="1151">
                  <c:v>7217.3251953125</c:v>
                </c:pt>
                <c:pt idx="1152">
                  <c:v>7132.763671875</c:v>
                </c:pt>
                <c:pt idx="1153">
                  <c:v>7078.916015625</c:v>
                </c:pt>
                <c:pt idx="1154">
                  <c:v>7049.53125</c:v>
                </c:pt>
                <c:pt idx="1155">
                  <c:v>7116.81640625</c:v>
                </c:pt>
                <c:pt idx="1156">
                  <c:v>7061.49169921875</c:v>
                </c:pt>
                <c:pt idx="1157">
                  <c:v>7118.14501953125</c:v>
                </c:pt>
                <c:pt idx="1158">
                  <c:v>7084.42822265625</c:v>
                </c:pt>
                <c:pt idx="1159">
                  <c:v>7052.3857421875</c:v>
                </c:pt>
                <c:pt idx="1160">
                  <c:v>7086.20068359375</c:v>
                </c:pt>
                <c:pt idx="1161">
                  <c:v>7087.82470703125</c:v>
                </c:pt>
                <c:pt idx="1162">
                  <c:v>7161.95166015625</c:v>
                </c:pt>
                <c:pt idx="1163">
                  <c:v>7161.95166015625</c:v>
                </c:pt>
                <c:pt idx="1164">
                  <c:v>7326.9404296875</c:v>
                </c:pt>
                <c:pt idx="1165">
                  <c:v>7331.02587890625</c:v>
                </c:pt>
                <c:pt idx="1166">
                  <c:v>7376.3583984375</c:v>
                </c:pt>
                <c:pt idx="1167">
                  <c:v>7328.26953125</c:v>
                </c:pt>
                <c:pt idx="1168">
                  <c:v>7464.80859375</c:v>
                </c:pt>
                <c:pt idx="1169">
                  <c:v>7439.41064453125</c:v>
                </c:pt>
                <c:pt idx="1170">
                  <c:v>7413.17578125</c:v>
                </c:pt>
                <c:pt idx="1171">
                  <c:v>7671.291015625</c:v>
                </c:pt>
                <c:pt idx="1172">
                  <c:v>7587.91015625</c:v>
                </c:pt>
                <c:pt idx="1173">
                  <c:v>7469.63232421875</c:v>
                </c:pt>
                <c:pt idx="1174">
                  <c:v>7589.6328125</c:v>
                </c:pt>
                <c:pt idx="1175">
                  <c:v>7677.49267578125</c:v>
                </c:pt>
                <c:pt idx="1176">
                  <c:v>7701.41357421875</c:v>
                </c:pt>
                <c:pt idx="1177">
                  <c:v>7628.6162109375</c:v>
                </c:pt>
                <c:pt idx="1178">
                  <c:v>7671.291015625</c:v>
                </c:pt>
                <c:pt idx="1179">
                  <c:v>7619.65771484375</c:v>
                </c:pt>
                <c:pt idx="1180">
                  <c:v>7741.0859375</c:v>
                </c:pt>
                <c:pt idx="1181">
                  <c:v>7687.68115234375</c:v>
                </c:pt>
                <c:pt idx="1182">
                  <c:v>7767.17333984375</c:v>
                </c:pt>
                <c:pt idx="1183">
                  <c:v>7888.06005859375</c:v>
                </c:pt>
                <c:pt idx="1184">
                  <c:v>7888.06005859375</c:v>
                </c:pt>
                <c:pt idx="1185">
                  <c:v>7983.056640625</c:v>
                </c:pt>
                <c:pt idx="1186">
                  <c:v>8152.7705078125</c:v>
                </c:pt>
                <c:pt idx="1187">
                  <c:v>8465.81640625</c:v>
                </c:pt>
                <c:pt idx="1188">
                  <c:v>8759.46875</c:v>
                </c:pt>
                <c:pt idx="1189">
                  <c:v>8789.3955078125</c:v>
                </c:pt>
                <c:pt idx="1190">
                  <c:v>8747.212890625</c:v>
                </c:pt>
                <c:pt idx="1191">
                  <c:v>8828.8212890625</c:v>
                </c:pt>
                <c:pt idx="1192">
                  <c:v>8678.5498046875</c:v>
                </c:pt>
                <c:pt idx="1193">
                  <c:v>8804.505859375</c:v>
                </c:pt>
                <c:pt idx="1194">
                  <c:v>8711.1337890625</c:v>
                </c:pt>
                <c:pt idx="1195">
                  <c:v>8788.853515625</c:v>
                </c:pt>
                <c:pt idx="1196">
                  <c:v>8818.484375</c:v>
                </c:pt>
                <c:pt idx="1197">
                  <c:v>8805.6865234375</c:v>
                </c:pt>
                <c:pt idx="1198">
                  <c:v>8808.935546875</c:v>
                </c:pt>
                <c:pt idx="1199">
                  <c:v>8937.2548828125</c:v>
                </c:pt>
                <c:pt idx="1200">
                  <c:v>9118.53515625</c:v>
                </c:pt>
                <c:pt idx="1201">
                  <c:v>8845.9501953125</c:v>
                </c:pt>
                <c:pt idx="1202">
                  <c:v>8757.25</c:v>
                </c:pt>
                <c:pt idx="1203">
                  <c:v>8475.4501953125</c:v>
                </c:pt>
                <c:pt idx="1204">
                  <c:v>8715.349609375</c:v>
                </c:pt>
                <c:pt idx="1205">
                  <c:v>8874.349609375</c:v>
                </c:pt>
                <c:pt idx="1206">
                  <c:v>8774.0498046875</c:v>
                </c:pt>
                <c:pt idx="1207">
                  <c:v>8518.900390625</c:v>
                </c:pt>
                <c:pt idx="1208">
                  <c:v>8542.75</c:v>
                </c:pt>
                <c:pt idx="1209">
                  <c:v>8500</c:v>
                </c:pt>
                <c:pt idx="1210">
                  <c:v>8535.599609375</c:v>
                </c:pt>
                <c:pt idx="1211">
                  <c:v>8584.2001953125</c:v>
                </c:pt>
                <c:pt idx="1212">
                  <c:v>8517.75</c:v>
                </c:pt>
                <c:pt idx="1213">
                  <c:v>8433.25</c:v>
                </c:pt>
                <c:pt idx="1214">
                  <c:v>8318.599609375</c:v>
                </c:pt>
                <c:pt idx="1215">
                  <c:v>8379.2001953125</c:v>
                </c:pt>
                <c:pt idx="1216">
                  <c:v>8201.5498046875</c:v>
                </c:pt>
                <c:pt idx="1217">
                  <c:v>8191.35009765625</c:v>
                </c:pt>
                <c:pt idx="1218">
                  <c:v>8301.150390625</c:v>
                </c:pt>
                <c:pt idx="1219">
                  <c:v>8351.650390625</c:v>
                </c:pt>
                <c:pt idx="1220">
                  <c:v>8355</c:v>
                </c:pt>
                <c:pt idx="1221">
                  <c:v>8213</c:v>
                </c:pt>
                <c:pt idx="1222">
                  <c:v>8065</c:v>
                </c:pt>
                <c:pt idx="1223">
                  <c:v>8082.9501953125</c:v>
                </c:pt>
                <c:pt idx="1224">
                  <c:v>8030.14990234375</c:v>
                </c:pt>
                <c:pt idx="1225">
                  <c:v>8152.7001953125</c:v>
                </c:pt>
                <c:pt idx="1226">
                  <c:v>8111.5</c:v>
                </c:pt>
                <c:pt idx="1227">
                  <c:v>8174.75</c:v>
                </c:pt>
                <c:pt idx="1228">
                  <c:v>8250</c:v>
                </c:pt>
                <c:pt idx="1229">
                  <c:v>8197</c:v>
                </c:pt>
                <c:pt idx="1230">
                  <c:v>8189</c:v>
                </c:pt>
                <c:pt idx="1231">
                  <c:v>8133.39990234375</c:v>
                </c:pt>
                <c:pt idx="1232">
                  <c:v>8198.5</c:v>
                </c:pt>
                <c:pt idx="1233">
                  <c:v>8324.25</c:v>
                </c:pt>
                <c:pt idx="1234">
                  <c:v>8413.349609375</c:v>
                </c:pt>
              </c:numCache>
            </c:numRef>
          </c:val>
          <c:smooth val="0"/>
          <c:extLst>
            <c:ext xmlns:c16="http://schemas.microsoft.com/office/drawing/2014/chart" uri="{C3380CC4-5D6E-409C-BE32-E72D297353CC}">
              <c16:uniqueId val="{00000000-863A-48DD-A9F8-99D2425EBC4F}"/>
            </c:ext>
          </c:extLst>
        </c:ser>
        <c:dLbls>
          <c:showLegendKey val="0"/>
          <c:showVal val="0"/>
          <c:showCatName val="0"/>
          <c:showSerName val="0"/>
          <c:showPercent val="0"/>
          <c:showBubbleSize val="0"/>
        </c:dLbls>
        <c:smooth val="0"/>
        <c:axId val="1456317375"/>
        <c:axId val="1521650735"/>
      </c:lineChart>
      <c:dateAx>
        <c:axId val="1456317375"/>
        <c:scaling>
          <c:orientation val="minMax"/>
        </c:scaling>
        <c:delete val="0"/>
        <c:axPos val="b"/>
        <c:numFmt formatCode="yyyy" sourceLinked="0"/>
        <c:majorTickMark val="out"/>
        <c:minorTickMark val="none"/>
        <c:tickLblPos val="nextTo"/>
        <c:spPr>
          <a:noFill/>
          <a:ln w="9525" cap="flat" cmpd="sng" algn="ctr">
            <a:solidFill>
              <a:schemeClr val="accent2"/>
            </a:solidFill>
            <a:round/>
          </a:ln>
          <a:effectLst/>
        </c:spPr>
        <c:txPr>
          <a:bodyPr rot="-3000000" spcFirstLastPara="1" vertOverflow="ellipsis"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521650735"/>
        <c:crosses val="autoZero"/>
        <c:auto val="1"/>
        <c:lblOffset val="100"/>
        <c:baseTimeUnit val="days"/>
      </c:dateAx>
      <c:valAx>
        <c:axId val="1521650735"/>
        <c:scaling>
          <c:orientation val="minMax"/>
          <c:max val="10000"/>
          <c:min val="4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56317375"/>
        <c:crosses val="autoZero"/>
        <c:crossBetween val="between"/>
        <c:majorUnit val="1000"/>
        <c:minorUnit val="1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'OPP Data'!$F$3</c:f>
              <c:strCache>
                <c:ptCount val="1"/>
                <c:pt idx="0">
                  <c:v>Adj Close</c:v>
                </c:pt>
              </c:strCache>
            </c:strRef>
          </c:tx>
          <c:spPr>
            <a:ln w="28575" cap="rnd">
              <a:solidFill>
                <a:schemeClr val="accent2"/>
              </a:solidFill>
              <a:round/>
            </a:ln>
            <a:effectLst/>
          </c:spPr>
          <c:marker>
            <c:symbol val="none"/>
          </c:marker>
          <c:cat>
            <c:numRef>
              <c:f>'OPP Data'!$E$5:$E$101</c:f>
              <c:numCache>
                <c:formatCode>yyyy/mm/dd</c:formatCode>
                <c:ptCount val="97"/>
                <c:pt idx="0">
                  <c:v>46136</c:v>
                </c:pt>
                <c:pt idx="1">
                  <c:v>46139</c:v>
                </c:pt>
                <c:pt idx="2">
                  <c:v>46140</c:v>
                </c:pt>
                <c:pt idx="3">
                  <c:v>46141</c:v>
                </c:pt>
                <c:pt idx="4">
                  <c:v>46142</c:v>
                </c:pt>
                <c:pt idx="5">
                  <c:v>46146</c:v>
                </c:pt>
                <c:pt idx="6">
                  <c:v>46147</c:v>
                </c:pt>
                <c:pt idx="7">
                  <c:v>46148</c:v>
                </c:pt>
                <c:pt idx="8">
                  <c:v>46149</c:v>
                </c:pt>
                <c:pt idx="9">
                  <c:v>46150</c:v>
                </c:pt>
                <c:pt idx="10">
                  <c:v>46153</c:v>
                </c:pt>
                <c:pt idx="11">
                  <c:v>46154</c:v>
                </c:pt>
                <c:pt idx="12">
                  <c:v>46155</c:v>
                </c:pt>
                <c:pt idx="13">
                  <c:v>46156</c:v>
                </c:pt>
                <c:pt idx="14">
                  <c:v>46157</c:v>
                </c:pt>
                <c:pt idx="15">
                  <c:v>46160</c:v>
                </c:pt>
                <c:pt idx="16">
                  <c:v>46161</c:v>
                </c:pt>
                <c:pt idx="17">
                  <c:v>46162</c:v>
                </c:pt>
                <c:pt idx="18">
                  <c:v>46163</c:v>
                </c:pt>
                <c:pt idx="19">
                  <c:v>46164</c:v>
                </c:pt>
                <c:pt idx="20">
                  <c:v>46167</c:v>
                </c:pt>
                <c:pt idx="21">
                  <c:v>46168</c:v>
                </c:pt>
                <c:pt idx="22">
                  <c:v>46169</c:v>
                </c:pt>
                <c:pt idx="23">
                  <c:v>46170</c:v>
                </c:pt>
                <c:pt idx="24">
                  <c:v>46171</c:v>
                </c:pt>
                <c:pt idx="25">
                  <c:v>46174</c:v>
                </c:pt>
                <c:pt idx="26">
                  <c:v>46175</c:v>
                </c:pt>
                <c:pt idx="27">
                  <c:v>46176</c:v>
                </c:pt>
                <c:pt idx="28">
                  <c:v>46177</c:v>
                </c:pt>
                <c:pt idx="29">
                  <c:v>46178</c:v>
                </c:pt>
                <c:pt idx="30">
                  <c:v>46181</c:v>
                </c:pt>
                <c:pt idx="31">
                  <c:v>46182</c:v>
                </c:pt>
                <c:pt idx="32">
                  <c:v>46183</c:v>
                </c:pt>
                <c:pt idx="33">
                  <c:v>46184</c:v>
                </c:pt>
                <c:pt idx="34">
                  <c:v>46185</c:v>
                </c:pt>
                <c:pt idx="35">
                  <c:v>46188</c:v>
                </c:pt>
                <c:pt idx="36">
                  <c:v>46189</c:v>
                </c:pt>
                <c:pt idx="37">
                  <c:v>46190</c:v>
                </c:pt>
                <c:pt idx="38">
                  <c:v>46191</c:v>
                </c:pt>
                <c:pt idx="39">
                  <c:v>46192</c:v>
                </c:pt>
                <c:pt idx="40">
                  <c:v>46195</c:v>
                </c:pt>
                <c:pt idx="41">
                  <c:v>46196</c:v>
                </c:pt>
                <c:pt idx="42">
                  <c:v>46197</c:v>
                </c:pt>
                <c:pt idx="43">
                  <c:v>46198</c:v>
                </c:pt>
                <c:pt idx="44">
                  <c:v>46199</c:v>
                </c:pt>
                <c:pt idx="45">
                  <c:v>46202</c:v>
                </c:pt>
                <c:pt idx="46">
                  <c:v>46203</c:v>
                </c:pt>
                <c:pt idx="47">
                  <c:v>46204</c:v>
                </c:pt>
                <c:pt idx="48">
                  <c:v>46205</c:v>
                </c:pt>
                <c:pt idx="49">
                  <c:v>46206</c:v>
                </c:pt>
                <c:pt idx="50">
                  <c:v>46209</c:v>
                </c:pt>
                <c:pt idx="51">
                  <c:v>46210</c:v>
                </c:pt>
                <c:pt idx="52">
                  <c:v>46211</c:v>
                </c:pt>
                <c:pt idx="53">
                  <c:v>46212</c:v>
                </c:pt>
                <c:pt idx="54">
                  <c:v>46213</c:v>
                </c:pt>
                <c:pt idx="55">
                  <c:v>46216</c:v>
                </c:pt>
                <c:pt idx="56">
                  <c:v>46217</c:v>
                </c:pt>
                <c:pt idx="57">
                  <c:v>46218</c:v>
                </c:pt>
                <c:pt idx="58">
                  <c:v>46219</c:v>
                </c:pt>
                <c:pt idx="59">
                  <c:v>46220</c:v>
                </c:pt>
                <c:pt idx="60">
                  <c:v>46223</c:v>
                </c:pt>
                <c:pt idx="61">
                  <c:v>46224</c:v>
                </c:pt>
                <c:pt idx="62">
                  <c:v>46225</c:v>
                </c:pt>
                <c:pt idx="63">
                  <c:v>46226</c:v>
                </c:pt>
                <c:pt idx="64">
                  <c:v>46227</c:v>
                </c:pt>
                <c:pt idx="65">
                  <c:v>46230</c:v>
                </c:pt>
                <c:pt idx="66">
                  <c:v>46231</c:v>
                </c:pt>
                <c:pt idx="67">
                  <c:v>46232</c:v>
                </c:pt>
                <c:pt idx="68">
                  <c:v>46233</c:v>
                </c:pt>
                <c:pt idx="69">
                  <c:v>46234</c:v>
                </c:pt>
                <c:pt idx="70">
                  <c:v>46237</c:v>
                </c:pt>
                <c:pt idx="71">
                  <c:v>46238</c:v>
                </c:pt>
                <c:pt idx="72">
                  <c:v>46239</c:v>
                </c:pt>
                <c:pt idx="73">
                  <c:v>46240</c:v>
                </c:pt>
                <c:pt idx="74">
                  <c:v>46241</c:v>
                </c:pt>
                <c:pt idx="75">
                  <c:v>46244</c:v>
                </c:pt>
                <c:pt idx="76">
                  <c:v>46245</c:v>
                </c:pt>
                <c:pt idx="77">
                  <c:v>46246</c:v>
                </c:pt>
                <c:pt idx="78">
                  <c:v>46247</c:v>
                </c:pt>
                <c:pt idx="79">
                  <c:v>46248</c:v>
                </c:pt>
                <c:pt idx="80">
                  <c:v>46251</c:v>
                </c:pt>
                <c:pt idx="81">
                  <c:v>46252</c:v>
                </c:pt>
                <c:pt idx="82">
                  <c:v>46253</c:v>
                </c:pt>
                <c:pt idx="83">
                  <c:v>46254</c:v>
                </c:pt>
                <c:pt idx="84">
                  <c:v>46255</c:v>
                </c:pt>
                <c:pt idx="85">
                  <c:v>46258</c:v>
                </c:pt>
                <c:pt idx="86">
                  <c:v>46259</c:v>
                </c:pt>
                <c:pt idx="87">
                  <c:v>46260</c:v>
                </c:pt>
                <c:pt idx="88">
                  <c:v>46261</c:v>
                </c:pt>
                <c:pt idx="89">
                  <c:v>46262</c:v>
                </c:pt>
                <c:pt idx="90">
                  <c:v>46265</c:v>
                </c:pt>
                <c:pt idx="91">
                  <c:v>46266</c:v>
                </c:pt>
                <c:pt idx="92">
                  <c:v>46267</c:v>
                </c:pt>
                <c:pt idx="93">
                  <c:v>46268</c:v>
                </c:pt>
                <c:pt idx="94">
                  <c:v>46269</c:v>
                </c:pt>
                <c:pt idx="95">
                  <c:v>46272</c:v>
                </c:pt>
              </c:numCache>
            </c:numRef>
          </c:cat>
          <c:val>
            <c:numRef>
              <c:f>'OPP Data'!$F$5:$F$101</c:f>
              <c:numCache>
                <c:formatCode>General</c:formatCode>
                <c:ptCount val="97"/>
                <c:pt idx="0">
                  <c:v>7357.822265625</c:v>
                </c:pt>
                <c:pt idx="1">
                  <c:v>7381.1728515625</c:v>
                </c:pt>
                <c:pt idx="2">
                  <c:v>7362.66552734375</c:v>
                </c:pt>
                <c:pt idx="3">
                  <c:v>7357.7138671875</c:v>
                </c:pt>
                <c:pt idx="4">
                  <c:v>7343.7841796875</c:v>
                </c:pt>
                <c:pt idx="5">
                  <c:v>7293.5693359375</c:v>
                </c:pt>
                <c:pt idx="6">
                  <c:v>7247.30126953125</c:v>
                </c:pt>
                <c:pt idx="7">
                  <c:v>7241.39501953125</c:v>
                </c:pt>
                <c:pt idx="8">
                  <c:v>7301.4443359375</c:v>
                </c:pt>
                <c:pt idx="9">
                  <c:v>7377.73681640625</c:v>
                </c:pt>
                <c:pt idx="10">
                  <c:v>7230.56640625</c:v>
                </c:pt>
                <c:pt idx="11">
                  <c:v>7181.34521484375</c:v>
                </c:pt>
                <c:pt idx="12">
                  <c:v>7122.77197265625</c:v>
                </c:pt>
                <c:pt idx="13">
                  <c:v>7072.56689453125</c:v>
                </c:pt>
                <c:pt idx="14">
                  <c:v>7058.29248046875</c:v>
                </c:pt>
                <c:pt idx="15">
                  <c:v>7136.55419921875</c:v>
                </c:pt>
                <c:pt idx="16">
                  <c:v>7058.78466796875</c:v>
                </c:pt>
                <c:pt idx="17">
                  <c:v>7093.73193359375</c:v>
                </c:pt>
                <c:pt idx="18">
                  <c:v>7059.76953125</c:v>
                </c:pt>
                <c:pt idx="19">
                  <c:v>7088.3173828125</c:v>
                </c:pt>
                <c:pt idx="20">
                  <c:v>7079.94970703125</c:v>
                </c:pt>
                <c:pt idx="21">
                  <c:v>7080.9345703125</c:v>
                </c:pt>
                <c:pt idx="22">
                  <c:v>7225.15185546875</c:v>
                </c:pt>
                <c:pt idx="23">
                  <c:v>7225.15185546875</c:v>
                </c:pt>
                <c:pt idx="24">
                  <c:v>7366.416015625</c:v>
                </c:pt>
                <c:pt idx="25">
                  <c:v>7376.75244140625</c:v>
                </c:pt>
                <c:pt idx="26">
                  <c:v>7341.8056640625</c:v>
                </c:pt>
                <c:pt idx="27">
                  <c:v>7337.8681640625</c:v>
                </c:pt>
                <c:pt idx="28">
                  <c:v>7494.8828125</c:v>
                </c:pt>
                <c:pt idx="29">
                  <c:v>7473.2255859375</c:v>
                </c:pt>
                <c:pt idx="30">
                  <c:v>7466.8271484375</c:v>
                </c:pt>
                <c:pt idx="31">
                  <c:v>7621.380859375</c:v>
                </c:pt>
                <c:pt idx="32">
                  <c:v>7588.40283203125</c:v>
                </c:pt>
                <c:pt idx="33">
                  <c:v>7539.18212890625</c:v>
                </c:pt>
                <c:pt idx="34">
                  <c:v>7564.77685546875</c:v>
                </c:pt>
                <c:pt idx="35">
                  <c:v>7675.03173828125</c:v>
                </c:pt>
                <c:pt idx="36">
                  <c:v>7700.626953125</c:v>
                </c:pt>
                <c:pt idx="37">
                  <c:v>7666.17236328125</c:v>
                </c:pt>
                <c:pt idx="38">
                  <c:v>7676.01611328125</c:v>
                </c:pt>
                <c:pt idx="39">
                  <c:v>7641.0693359375</c:v>
                </c:pt>
                <c:pt idx="40">
                  <c:v>7769.0439453125</c:v>
                </c:pt>
                <c:pt idx="41">
                  <c:v>7693.24365234375</c:v>
                </c:pt>
                <c:pt idx="42">
                  <c:v>7767.0751953125</c:v>
                </c:pt>
                <c:pt idx="43">
                  <c:v>7888.15869140625</c:v>
                </c:pt>
                <c:pt idx="44">
                  <c:v>7888.15869140625</c:v>
                </c:pt>
                <c:pt idx="45">
                  <c:v>8029.42333984375</c:v>
                </c:pt>
                <c:pt idx="46">
                  <c:v>8156.90576171875</c:v>
                </c:pt>
                <c:pt idx="47">
                  <c:v>8460.599609375</c:v>
                </c:pt>
                <c:pt idx="48">
                  <c:v>8770.19921875</c:v>
                </c:pt>
                <c:pt idx="49">
                  <c:v>8798.2548828125</c:v>
                </c:pt>
                <c:pt idx="50">
                  <c:v>8723.931640625</c:v>
                </c:pt>
                <c:pt idx="51">
                  <c:v>8827.2958984375</c:v>
                </c:pt>
                <c:pt idx="52">
                  <c:v>8661.9130859375</c:v>
                </c:pt>
                <c:pt idx="53">
                  <c:v>8824.3427734375</c:v>
                </c:pt>
                <c:pt idx="54">
                  <c:v>8740.1748046875</c:v>
                </c:pt>
                <c:pt idx="55">
                  <c:v>8817.451171875</c:v>
                </c:pt>
                <c:pt idx="56">
                  <c:v>8837.1396484375</c:v>
                </c:pt>
                <c:pt idx="57">
                  <c:v>8823.3583984375</c:v>
                </c:pt>
                <c:pt idx="58">
                  <c:v>8815.482421875</c:v>
                </c:pt>
                <c:pt idx="59">
                  <c:v>8939.51953125</c:v>
                </c:pt>
                <c:pt idx="60">
                  <c:v>9109.33203125</c:v>
                </c:pt>
                <c:pt idx="61">
                  <c:v>8846</c:v>
                </c:pt>
                <c:pt idx="62">
                  <c:v>8735.5</c:v>
                </c:pt>
                <c:pt idx="63">
                  <c:v>8451.5</c:v>
                </c:pt>
                <c:pt idx="64">
                  <c:v>8704</c:v>
                </c:pt>
                <c:pt idx="65">
                  <c:v>8894.5</c:v>
                </c:pt>
                <c:pt idx="66">
                  <c:v>8765.5</c:v>
                </c:pt>
                <c:pt idx="67">
                  <c:v>8520.5</c:v>
                </c:pt>
                <c:pt idx="68">
                  <c:v>8530.5</c:v>
                </c:pt>
                <c:pt idx="69">
                  <c:v>8549.5</c:v>
                </c:pt>
                <c:pt idx="70">
                  <c:v>8496.5</c:v>
                </c:pt>
                <c:pt idx="71">
                  <c:v>8566</c:v>
                </c:pt>
                <c:pt idx="72">
                  <c:v>8526.5</c:v>
                </c:pt>
                <c:pt idx="73">
                  <c:v>8465</c:v>
                </c:pt>
                <c:pt idx="74">
                  <c:v>8398.5</c:v>
                </c:pt>
                <c:pt idx="75">
                  <c:v>8382.5</c:v>
                </c:pt>
                <c:pt idx="76">
                  <c:v>8193</c:v>
                </c:pt>
                <c:pt idx="77">
                  <c:v>8177.5</c:v>
                </c:pt>
                <c:pt idx="78">
                  <c:v>8305.5</c:v>
                </c:pt>
                <c:pt idx="79">
                  <c:v>8351</c:v>
                </c:pt>
                <c:pt idx="80">
                  <c:v>8340</c:v>
                </c:pt>
                <c:pt idx="81">
                  <c:v>8235</c:v>
                </c:pt>
                <c:pt idx="82">
                  <c:v>8049</c:v>
                </c:pt>
                <c:pt idx="83">
                  <c:v>8087.5</c:v>
                </c:pt>
                <c:pt idx="84">
                  <c:v>8029.5</c:v>
                </c:pt>
                <c:pt idx="85">
                  <c:v>8153.5</c:v>
                </c:pt>
                <c:pt idx="86">
                  <c:v>8152.5</c:v>
                </c:pt>
                <c:pt idx="87">
                  <c:v>8197.5</c:v>
                </c:pt>
                <c:pt idx="88">
                  <c:v>8239</c:v>
                </c:pt>
                <c:pt idx="89">
                  <c:v>8230</c:v>
                </c:pt>
                <c:pt idx="90">
                  <c:v>8116.5</c:v>
                </c:pt>
                <c:pt idx="91">
                  <c:v>8152</c:v>
                </c:pt>
                <c:pt idx="92">
                  <c:v>8194.5</c:v>
                </c:pt>
                <c:pt idx="93">
                  <c:v>8297</c:v>
                </c:pt>
                <c:pt idx="94">
                  <c:v>8406.5</c:v>
                </c:pt>
                <c:pt idx="95">
                  <c:v>8254</c:v>
                </c:pt>
              </c:numCache>
            </c:numRef>
          </c:val>
          <c:smooth val="0"/>
          <c:extLst>
            <c:ext xmlns:c16="http://schemas.microsoft.com/office/drawing/2014/chart" uri="{C3380CC4-5D6E-409C-BE32-E72D297353CC}">
              <c16:uniqueId val="{00000000-13AE-4274-A39E-95AFCFD63853}"/>
            </c:ext>
          </c:extLst>
        </c:ser>
        <c:dLbls>
          <c:showLegendKey val="0"/>
          <c:showVal val="0"/>
          <c:showCatName val="0"/>
          <c:showSerName val="0"/>
          <c:showPercent val="0"/>
          <c:showBubbleSize val="0"/>
        </c:dLbls>
        <c:smooth val="0"/>
        <c:axId val="619827743"/>
        <c:axId val="1443849711"/>
      </c:lineChart>
      <c:dateAx>
        <c:axId val="619827743"/>
        <c:scaling>
          <c:orientation val="minMax"/>
        </c:scaling>
        <c:delete val="0"/>
        <c:axPos val="b"/>
        <c:numFmt formatCode="mmm\-yy" sourceLinked="0"/>
        <c:majorTickMark val="out"/>
        <c:minorTickMark val="none"/>
        <c:tickLblPos val="nextTo"/>
        <c:spPr>
          <a:noFill/>
          <a:ln w="9525" cap="flat" cmpd="sng" algn="ctr">
            <a:solidFill>
              <a:schemeClr val="accent2"/>
            </a:solidFill>
            <a:round/>
          </a:ln>
          <a:effectLst/>
        </c:spPr>
        <c:txPr>
          <a:bodyPr rot="-288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849711"/>
        <c:crosses val="autoZero"/>
        <c:auto val="1"/>
        <c:lblOffset val="100"/>
        <c:baseTimeUnit val="days"/>
      </c:dateAx>
      <c:valAx>
        <c:axId val="1443849711"/>
        <c:scaling>
          <c:orientation val="minMax"/>
          <c:max val="9300"/>
          <c:min val="65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9827743"/>
        <c:crosses val="autoZero"/>
        <c:crossBetween val="between"/>
        <c:majorUnit val="5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'OPP Data'!$Q$3</c:f>
              <c:strCache>
                <c:ptCount val="1"/>
                <c:pt idx="0">
                  <c:v>Adj Close</c:v>
                </c:pt>
              </c:strCache>
            </c:strRef>
          </c:tx>
          <c:spPr>
            <a:ln w="28575" cap="rnd">
              <a:solidFill>
                <a:schemeClr val="accent1"/>
              </a:solidFill>
              <a:round/>
            </a:ln>
            <a:effectLst/>
          </c:spPr>
          <c:marker>
            <c:symbol val="none"/>
          </c:marker>
          <c:cat>
            <c:numRef>
              <c:f>'OPP Data'!$P$4:$P$1238</c:f>
              <c:numCache>
                <c:formatCode>yyyy/mm/dd</c:formatCode>
                <c:ptCount val="1235"/>
                <c:pt idx="0">
                  <c:v>44446</c:v>
                </c:pt>
                <c:pt idx="1">
                  <c:v>44447</c:v>
                </c:pt>
                <c:pt idx="2">
                  <c:v>44448</c:v>
                </c:pt>
                <c:pt idx="3">
                  <c:v>44452</c:v>
                </c:pt>
                <c:pt idx="4">
                  <c:v>44453</c:v>
                </c:pt>
                <c:pt idx="5">
                  <c:v>44454</c:v>
                </c:pt>
                <c:pt idx="6">
                  <c:v>44455</c:v>
                </c:pt>
                <c:pt idx="7">
                  <c:v>44456</c:v>
                </c:pt>
                <c:pt idx="8">
                  <c:v>44459</c:v>
                </c:pt>
                <c:pt idx="9">
                  <c:v>44460</c:v>
                </c:pt>
                <c:pt idx="10">
                  <c:v>44461</c:v>
                </c:pt>
                <c:pt idx="11">
                  <c:v>44462</c:v>
                </c:pt>
                <c:pt idx="12">
                  <c:v>44463</c:v>
                </c:pt>
                <c:pt idx="13">
                  <c:v>44466</c:v>
                </c:pt>
                <c:pt idx="14">
                  <c:v>44467</c:v>
                </c:pt>
                <c:pt idx="15">
                  <c:v>44468</c:v>
                </c:pt>
                <c:pt idx="16">
                  <c:v>44469</c:v>
                </c:pt>
                <c:pt idx="17">
                  <c:v>44470</c:v>
                </c:pt>
                <c:pt idx="18">
                  <c:v>44473</c:v>
                </c:pt>
                <c:pt idx="19">
                  <c:v>44474</c:v>
                </c:pt>
                <c:pt idx="20">
                  <c:v>44475</c:v>
                </c:pt>
                <c:pt idx="21">
                  <c:v>44476</c:v>
                </c:pt>
                <c:pt idx="22">
                  <c:v>44477</c:v>
                </c:pt>
                <c:pt idx="23">
                  <c:v>44480</c:v>
                </c:pt>
                <c:pt idx="24">
                  <c:v>44481</c:v>
                </c:pt>
                <c:pt idx="25">
                  <c:v>44482</c:v>
                </c:pt>
                <c:pt idx="26">
                  <c:v>44483</c:v>
                </c:pt>
                <c:pt idx="27">
                  <c:v>44487</c:v>
                </c:pt>
                <c:pt idx="28">
                  <c:v>44488</c:v>
                </c:pt>
                <c:pt idx="29">
                  <c:v>44489</c:v>
                </c:pt>
                <c:pt idx="30">
                  <c:v>44490</c:v>
                </c:pt>
                <c:pt idx="31">
                  <c:v>44491</c:v>
                </c:pt>
                <c:pt idx="32">
                  <c:v>44494</c:v>
                </c:pt>
                <c:pt idx="33">
                  <c:v>44495</c:v>
                </c:pt>
                <c:pt idx="34">
                  <c:v>44496</c:v>
                </c:pt>
                <c:pt idx="35">
                  <c:v>44497</c:v>
                </c:pt>
                <c:pt idx="36">
                  <c:v>44498</c:v>
                </c:pt>
                <c:pt idx="37">
                  <c:v>44501</c:v>
                </c:pt>
                <c:pt idx="38">
                  <c:v>44502</c:v>
                </c:pt>
                <c:pt idx="39">
                  <c:v>44503</c:v>
                </c:pt>
                <c:pt idx="40">
                  <c:v>44504</c:v>
                </c:pt>
                <c:pt idx="41">
                  <c:v>44508</c:v>
                </c:pt>
                <c:pt idx="42">
                  <c:v>44509</c:v>
                </c:pt>
                <c:pt idx="43">
                  <c:v>44510</c:v>
                </c:pt>
                <c:pt idx="44">
                  <c:v>44511</c:v>
                </c:pt>
                <c:pt idx="45">
                  <c:v>44512</c:v>
                </c:pt>
                <c:pt idx="46">
                  <c:v>44515</c:v>
                </c:pt>
                <c:pt idx="47">
                  <c:v>44516</c:v>
                </c:pt>
                <c:pt idx="48">
                  <c:v>44517</c:v>
                </c:pt>
                <c:pt idx="49">
                  <c:v>44518</c:v>
                </c:pt>
                <c:pt idx="50">
                  <c:v>44522</c:v>
                </c:pt>
                <c:pt idx="51">
                  <c:v>44523</c:v>
                </c:pt>
                <c:pt idx="52">
                  <c:v>44524</c:v>
                </c:pt>
                <c:pt idx="53">
                  <c:v>44525</c:v>
                </c:pt>
                <c:pt idx="54">
                  <c:v>44526</c:v>
                </c:pt>
                <c:pt idx="55">
                  <c:v>44529</c:v>
                </c:pt>
                <c:pt idx="56">
                  <c:v>44530</c:v>
                </c:pt>
                <c:pt idx="57">
                  <c:v>44531</c:v>
                </c:pt>
                <c:pt idx="58">
                  <c:v>44532</c:v>
                </c:pt>
                <c:pt idx="59">
                  <c:v>44533</c:v>
                </c:pt>
                <c:pt idx="60">
                  <c:v>44536</c:v>
                </c:pt>
                <c:pt idx="61">
                  <c:v>44537</c:v>
                </c:pt>
                <c:pt idx="62">
                  <c:v>44538</c:v>
                </c:pt>
                <c:pt idx="63">
                  <c:v>44539</c:v>
                </c:pt>
                <c:pt idx="64">
                  <c:v>44540</c:v>
                </c:pt>
                <c:pt idx="65">
                  <c:v>44543</c:v>
                </c:pt>
                <c:pt idx="66">
                  <c:v>44544</c:v>
                </c:pt>
                <c:pt idx="67">
                  <c:v>44545</c:v>
                </c:pt>
                <c:pt idx="68">
                  <c:v>44546</c:v>
                </c:pt>
                <c:pt idx="69">
                  <c:v>44547</c:v>
                </c:pt>
                <c:pt idx="70">
                  <c:v>44550</c:v>
                </c:pt>
                <c:pt idx="71">
                  <c:v>44551</c:v>
                </c:pt>
                <c:pt idx="72">
                  <c:v>44552</c:v>
                </c:pt>
                <c:pt idx="73">
                  <c:v>44553</c:v>
                </c:pt>
                <c:pt idx="74">
                  <c:v>44554</c:v>
                </c:pt>
                <c:pt idx="75">
                  <c:v>44557</c:v>
                </c:pt>
                <c:pt idx="76">
                  <c:v>44558</c:v>
                </c:pt>
                <c:pt idx="77">
                  <c:v>44559</c:v>
                </c:pt>
                <c:pt idx="78">
                  <c:v>44560</c:v>
                </c:pt>
                <c:pt idx="79">
                  <c:v>44561</c:v>
                </c:pt>
                <c:pt idx="80">
                  <c:v>44564</c:v>
                </c:pt>
                <c:pt idx="81">
                  <c:v>44565</c:v>
                </c:pt>
                <c:pt idx="82">
                  <c:v>44566</c:v>
                </c:pt>
                <c:pt idx="83">
                  <c:v>44567</c:v>
                </c:pt>
                <c:pt idx="84">
                  <c:v>44568</c:v>
                </c:pt>
                <c:pt idx="85">
                  <c:v>44571</c:v>
                </c:pt>
                <c:pt idx="86">
                  <c:v>44572</c:v>
                </c:pt>
                <c:pt idx="87">
                  <c:v>44573</c:v>
                </c:pt>
                <c:pt idx="88">
                  <c:v>44574</c:v>
                </c:pt>
                <c:pt idx="89">
                  <c:v>44575</c:v>
                </c:pt>
                <c:pt idx="90">
                  <c:v>44578</c:v>
                </c:pt>
                <c:pt idx="91">
                  <c:v>44579</c:v>
                </c:pt>
                <c:pt idx="92">
                  <c:v>44580</c:v>
                </c:pt>
                <c:pt idx="93">
                  <c:v>44581</c:v>
                </c:pt>
                <c:pt idx="94">
                  <c:v>44582</c:v>
                </c:pt>
                <c:pt idx="95">
                  <c:v>44585</c:v>
                </c:pt>
                <c:pt idx="96">
                  <c:v>44586</c:v>
                </c:pt>
                <c:pt idx="97">
                  <c:v>44588</c:v>
                </c:pt>
                <c:pt idx="98">
                  <c:v>44589</c:v>
                </c:pt>
                <c:pt idx="99">
                  <c:v>44592</c:v>
                </c:pt>
                <c:pt idx="100">
                  <c:v>44593</c:v>
                </c:pt>
                <c:pt idx="101">
                  <c:v>44594</c:v>
                </c:pt>
                <c:pt idx="102">
                  <c:v>44595</c:v>
                </c:pt>
                <c:pt idx="103">
                  <c:v>44596</c:v>
                </c:pt>
                <c:pt idx="104">
                  <c:v>44599</c:v>
                </c:pt>
                <c:pt idx="105">
                  <c:v>44600</c:v>
                </c:pt>
                <c:pt idx="106">
                  <c:v>44601</c:v>
                </c:pt>
                <c:pt idx="107">
                  <c:v>44602</c:v>
                </c:pt>
                <c:pt idx="108">
                  <c:v>44603</c:v>
                </c:pt>
                <c:pt idx="109">
                  <c:v>44606</c:v>
                </c:pt>
                <c:pt idx="110">
                  <c:v>44607</c:v>
                </c:pt>
                <c:pt idx="111">
                  <c:v>44608</c:v>
                </c:pt>
                <c:pt idx="112">
                  <c:v>44609</c:v>
                </c:pt>
                <c:pt idx="113">
                  <c:v>44610</c:v>
                </c:pt>
                <c:pt idx="114">
                  <c:v>44613</c:v>
                </c:pt>
                <c:pt idx="115">
                  <c:v>44614</c:v>
                </c:pt>
                <c:pt idx="116">
                  <c:v>44615</c:v>
                </c:pt>
                <c:pt idx="117">
                  <c:v>44616</c:v>
                </c:pt>
                <c:pt idx="118">
                  <c:v>44617</c:v>
                </c:pt>
                <c:pt idx="119">
                  <c:v>44620</c:v>
                </c:pt>
                <c:pt idx="120">
                  <c:v>44622</c:v>
                </c:pt>
                <c:pt idx="121">
                  <c:v>44623</c:v>
                </c:pt>
                <c:pt idx="122">
                  <c:v>44624</c:v>
                </c:pt>
                <c:pt idx="123">
                  <c:v>44627</c:v>
                </c:pt>
                <c:pt idx="124">
                  <c:v>44628</c:v>
                </c:pt>
                <c:pt idx="125">
                  <c:v>44629</c:v>
                </c:pt>
                <c:pt idx="126">
                  <c:v>44630</c:v>
                </c:pt>
                <c:pt idx="127">
                  <c:v>44631</c:v>
                </c:pt>
                <c:pt idx="128">
                  <c:v>44634</c:v>
                </c:pt>
                <c:pt idx="129">
                  <c:v>44635</c:v>
                </c:pt>
                <c:pt idx="130">
                  <c:v>44636</c:v>
                </c:pt>
                <c:pt idx="131">
                  <c:v>44637</c:v>
                </c:pt>
                <c:pt idx="132">
                  <c:v>44641</c:v>
                </c:pt>
                <c:pt idx="133">
                  <c:v>44642</c:v>
                </c:pt>
                <c:pt idx="134">
                  <c:v>44643</c:v>
                </c:pt>
                <c:pt idx="135">
                  <c:v>44644</c:v>
                </c:pt>
                <c:pt idx="136">
                  <c:v>44645</c:v>
                </c:pt>
                <c:pt idx="137">
                  <c:v>44648</c:v>
                </c:pt>
                <c:pt idx="138">
                  <c:v>44649</c:v>
                </c:pt>
                <c:pt idx="139">
                  <c:v>44650</c:v>
                </c:pt>
                <c:pt idx="140">
                  <c:v>44651</c:v>
                </c:pt>
                <c:pt idx="141">
                  <c:v>44652</c:v>
                </c:pt>
                <c:pt idx="142">
                  <c:v>44655</c:v>
                </c:pt>
                <c:pt idx="143">
                  <c:v>44656</c:v>
                </c:pt>
                <c:pt idx="144">
                  <c:v>44657</c:v>
                </c:pt>
                <c:pt idx="145">
                  <c:v>44658</c:v>
                </c:pt>
                <c:pt idx="146">
                  <c:v>44659</c:v>
                </c:pt>
                <c:pt idx="147">
                  <c:v>44662</c:v>
                </c:pt>
                <c:pt idx="148">
                  <c:v>44663</c:v>
                </c:pt>
                <c:pt idx="149">
                  <c:v>44664</c:v>
                </c:pt>
                <c:pt idx="150">
                  <c:v>44669</c:v>
                </c:pt>
                <c:pt idx="151">
                  <c:v>44670</c:v>
                </c:pt>
                <c:pt idx="152">
                  <c:v>44671</c:v>
                </c:pt>
                <c:pt idx="153">
                  <c:v>44672</c:v>
                </c:pt>
                <c:pt idx="154">
                  <c:v>44673</c:v>
                </c:pt>
                <c:pt idx="155">
                  <c:v>44676</c:v>
                </c:pt>
                <c:pt idx="156">
                  <c:v>44677</c:v>
                </c:pt>
                <c:pt idx="157">
                  <c:v>44678</c:v>
                </c:pt>
                <c:pt idx="158">
                  <c:v>44679</c:v>
                </c:pt>
                <c:pt idx="159">
                  <c:v>44680</c:v>
                </c:pt>
                <c:pt idx="160">
                  <c:v>44683</c:v>
                </c:pt>
                <c:pt idx="161">
                  <c:v>44685</c:v>
                </c:pt>
                <c:pt idx="162">
                  <c:v>44686</c:v>
                </c:pt>
                <c:pt idx="163">
                  <c:v>44687</c:v>
                </c:pt>
                <c:pt idx="164">
                  <c:v>44690</c:v>
                </c:pt>
                <c:pt idx="165">
                  <c:v>44691</c:v>
                </c:pt>
                <c:pt idx="166">
                  <c:v>44692</c:v>
                </c:pt>
                <c:pt idx="167">
                  <c:v>44693</c:v>
                </c:pt>
                <c:pt idx="168">
                  <c:v>44694</c:v>
                </c:pt>
                <c:pt idx="169">
                  <c:v>44697</c:v>
                </c:pt>
                <c:pt idx="170">
                  <c:v>44698</c:v>
                </c:pt>
                <c:pt idx="171">
                  <c:v>44699</c:v>
                </c:pt>
                <c:pt idx="172">
                  <c:v>44700</c:v>
                </c:pt>
                <c:pt idx="173">
                  <c:v>44701</c:v>
                </c:pt>
                <c:pt idx="174">
                  <c:v>44704</c:v>
                </c:pt>
                <c:pt idx="175">
                  <c:v>44705</c:v>
                </c:pt>
                <c:pt idx="176">
                  <c:v>44706</c:v>
                </c:pt>
                <c:pt idx="177">
                  <c:v>44707</c:v>
                </c:pt>
                <c:pt idx="178">
                  <c:v>44708</c:v>
                </c:pt>
                <c:pt idx="179">
                  <c:v>44711</c:v>
                </c:pt>
                <c:pt idx="180">
                  <c:v>44712</c:v>
                </c:pt>
                <c:pt idx="181">
                  <c:v>44713</c:v>
                </c:pt>
                <c:pt idx="182">
                  <c:v>44714</c:v>
                </c:pt>
                <c:pt idx="183">
                  <c:v>44715</c:v>
                </c:pt>
                <c:pt idx="184">
                  <c:v>44718</c:v>
                </c:pt>
                <c:pt idx="185">
                  <c:v>44719</c:v>
                </c:pt>
                <c:pt idx="186">
                  <c:v>44720</c:v>
                </c:pt>
                <c:pt idx="187">
                  <c:v>44721</c:v>
                </c:pt>
                <c:pt idx="188">
                  <c:v>44722</c:v>
                </c:pt>
                <c:pt idx="189">
                  <c:v>44725</c:v>
                </c:pt>
                <c:pt idx="190">
                  <c:v>44726</c:v>
                </c:pt>
                <c:pt idx="191">
                  <c:v>44727</c:v>
                </c:pt>
                <c:pt idx="192">
                  <c:v>44728</c:v>
                </c:pt>
                <c:pt idx="193">
                  <c:v>44729</c:v>
                </c:pt>
                <c:pt idx="194">
                  <c:v>44732</c:v>
                </c:pt>
                <c:pt idx="195">
                  <c:v>44733</c:v>
                </c:pt>
                <c:pt idx="196">
                  <c:v>44734</c:v>
                </c:pt>
                <c:pt idx="197">
                  <c:v>44735</c:v>
                </c:pt>
                <c:pt idx="198">
                  <c:v>44736</c:v>
                </c:pt>
                <c:pt idx="199">
                  <c:v>44739</c:v>
                </c:pt>
                <c:pt idx="200">
                  <c:v>44740</c:v>
                </c:pt>
                <c:pt idx="201">
                  <c:v>44741</c:v>
                </c:pt>
                <c:pt idx="202">
                  <c:v>44742</c:v>
                </c:pt>
                <c:pt idx="203">
                  <c:v>44743</c:v>
                </c:pt>
                <c:pt idx="204">
                  <c:v>44746</c:v>
                </c:pt>
                <c:pt idx="205">
                  <c:v>44747</c:v>
                </c:pt>
                <c:pt idx="206">
                  <c:v>44748</c:v>
                </c:pt>
                <c:pt idx="207">
                  <c:v>44749</c:v>
                </c:pt>
                <c:pt idx="208">
                  <c:v>44750</c:v>
                </c:pt>
                <c:pt idx="209">
                  <c:v>44753</c:v>
                </c:pt>
                <c:pt idx="210">
                  <c:v>44754</c:v>
                </c:pt>
                <c:pt idx="211">
                  <c:v>44755</c:v>
                </c:pt>
                <c:pt idx="212">
                  <c:v>44756</c:v>
                </c:pt>
                <c:pt idx="213">
                  <c:v>44757</c:v>
                </c:pt>
                <c:pt idx="214">
                  <c:v>44760</c:v>
                </c:pt>
                <c:pt idx="215">
                  <c:v>44761</c:v>
                </c:pt>
                <c:pt idx="216">
                  <c:v>44762</c:v>
                </c:pt>
                <c:pt idx="217">
                  <c:v>44763</c:v>
                </c:pt>
                <c:pt idx="218">
                  <c:v>44764</c:v>
                </c:pt>
                <c:pt idx="219">
                  <c:v>44767</c:v>
                </c:pt>
                <c:pt idx="220">
                  <c:v>44768</c:v>
                </c:pt>
                <c:pt idx="221">
                  <c:v>44769</c:v>
                </c:pt>
                <c:pt idx="222">
                  <c:v>44770</c:v>
                </c:pt>
                <c:pt idx="223">
                  <c:v>44771</c:v>
                </c:pt>
                <c:pt idx="224">
                  <c:v>44774</c:v>
                </c:pt>
                <c:pt idx="225">
                  <c:v>44775</c:v>
                </c:pt>
                <c:pt idx="226">
                  <c:v>44776</c:v>
                </c:pt>
                <c:pt idx="227">
                  <c:v>44777</c:v>
                </c:pt>
                <c:pt idx="228">
                  <c:v>44778</c:v>
                </c:pt>
                <c:pt idx="229">
                  <c:v>44781</c:v>
                </c:pt>
                <c:pt idx="230">
                  <c:v>44783</c:v>
                </c:pt>
                <c:pt idx="231">
                  <c:v>44784</c:v>
                </c:pt>
                <c:pt idx="232">
                  <c:v>44785</c:v>
                </c:pt>
                <c:pt idx="233">
                  <c:v>44789</c:v>
                </c:pt>
                <c:pt idx="234">
                  <c:v>44790</c:v>
                </c:pt>
                <c:pt idx="235">
                  <c:v>44791</c:v>
                </c:pt>
                <c:pt idx="236">
                  <c:v>44792</c:v>
                </c:pt>
                <c:pt idx="237">
                  <c:v>44795</c:v>
                </c:pt>
                <c:pt idx="238">
                  <c:v>44796</c:v>
                </c:pt>
                <c:pt idx="239">
                  <c:v>44797</c:v>
                </c:pt>
                <c:pt idx="240">
                  <c:v>44798</c:v>
                </c:pt>
                <c:pt idx="241">
                  <c:v>44799</c:v>
                </c:pt>
                <c:pt idx="242">
                  <c:v>44802</c:v>
                </c:pt>
                <c:pt idx="243">
                  <c:v>44803</c:v>
                </c:pt>
                <c:pt idx="244">
                  <c:v>44805</c:v>
                </c:pt>
                <c:pt idx="245">
                  <c:v>44806</c:v>
                </c:pt>
                <c:pt idx="246">
                  <c:v>44809</c:v>
                </c:pt>
                <c:pt idx="247">
                  <c:v>44810</c:v>
                </c:pt>
                <c:pt idx="248">
                  <c:v>44811</c:v>
                </c:pt>
                <c:pt idx="249">
                  <c:v>44812</c:v>
                </c:pt>
                <c:pt idx="250">
                  <c:v>44813</c:v>
                </c:pt>
                <c:pt idx="251">
                  <c:v>44816</c:v>
                </c:pt>
                <c:pt idx="252">
                  <c:v>44817</c:v>
                </c:pt>
                <c:pt idx="253">
                  <c:v>44818</c:v>
                </c:pt>
                <c:pt idx="254">
                  <c:v>44819</c:v>
                </c:pt>
                <c:pt idx="255">
                  <c:v>44820</c:v>
                </c:pt>
                <c:pt idx="256">
                  <c:v>44823</c:v>
                </c:pt>
                <c:pt idx="257">
                  <c:v>44824</c:v>
                </c:pt>
                <c:pt idx="258">
                  <c:v>44825</c:v>
                </c:pt>
                <c:pt idx="259">
                  <c:v>44826</c:v>
                </c:pt>
                <c:pt idx="260">
                  <c:v>44827</c:v>
                </c:pt>
                <c:pt idx="261">
                  <c:v>44830</c:v>
                </c:pt>
                <c:pt idx="262">
                  <c:v>44831</c:v>
                </c:pt>
                <c:pt idx="263">
                  <c:v>44832</c:v>
                </c:pt>
                <c:pt idx="264">
                  <c:v>44833</c:v>
                </c:pt>
                <c:pt idx="265">
                  <c:v>44834</c:v>
                </c:pt>
                <c:pt idx="266">
                  <c:v>44837</c:v>
                </c:pt>
                <c:pt idx="267">
                  <c:v>44838</c:v>
                </c:pt>
                <c:pt idx="268">
                  <c:v>44840</c:v>
                </c:pt>
                <c:pt idx="269">
                  <c:v>44841</c:v>
                </c:pt>
                <c:pt idx="270">
                  <c:v>44844</c:v>
                </c:pt>
                <c:pt idx="271">
                  <c:v>44845</c:v>
                </c:pt>
                <c:pt idx="272">
                  <c:v>44846</c:v>
                </c:pt>
                <c:pt idx="273">
                  <c:v>44847</c:v>
                </c:pt>
                <c:pt idx="274">
                  <c:v>44848</c:v>
                </c:pt>
                <c:pt idx="275">
                  <c:v>44851</c:v>
                </c:pt>
                <c:pt idx="276">
                  <c:v>44852</c:v>
                </c:pt>
                <c:pt idx="277">
                  <c:v>44853</c:v>
                </c:pt>
                <c:pt idx="278">
                  <c:v>44854</c:v>
                </c:pt>
                <c:pt idx="279">
                  <c:v>44855</c:v>
                </c:pt>
                <c:pt idx="280">
                  <c:v>44858</c:v>
                </c:pt>
                <c:pt idx="281">
                  <c:v>44859</c:v>
                </c:pt>
                <c:pt idx="282">
                  <c:v>44861</c:v>
                </c:pt>
                <c:pt idx="283">
                  <c:v>44862</c:v>
                </c:pt>
                <c:pt idx="284">
                  <c:v>44865</c:v>
                </c:pt>
                <c:pt idx="285">
                  <c:v>44866</c:v>
                </c:pt>
                <c:pt idx="286">
                  <c:v>44867</c:v>
                </c:pt>
                <c:pt idx="287">
                  <c:v>44868</c:v>
                </c:pt>
                <c:pt idx="288">
                  <c:v>44869</c:v>
                </c:pt>
                <c:pt idx="289">
                  <c:v>44872</c:v>
                </c:pt>
                <c:pt idx="290">
                  <c:v>44874</c:v>
                </c:pt>
                <c:pt idx="291">
                  <c:v>44875</c:v>
                </c:pt>
                <c:pt idx="292">
                  <c:v>44876</c:v>
                </c:pt>
                <c:pt idx="293">
                  <c:v>44879</c:v>
                </c:pt>
                <c:pt idx="294">
                  <c:v>44880</c:v>
                </c:pt>
                <c:pt idx="295">
                  <c:v>44881</c:v>
                </c:pt>
                <c:pt idx="296">
                  <c:v>44882</c:v>
                </c:pt>
                <c:pt idx="297">
                  <c:v>44883</c:v>
                </c:pt>
                <c:pt idx="298">
                  <c:v>44886</c:v>
                </c:pt>
                <c:pt idx="299">
                  <c:v>44887</c:v>
                </c:pt>
                <c:pt idx="300">
                  <c:v>44888</c:v>
                </c:pt>
                <c:pt idx="301">
                  <c:v>44889</c:v>
                </c:pt>
                <c:pt idx="302">
                  <c:v>44890</c:v>
                </c:pt>
                <c:pt idx="303">
                  <c:v>44893</c:v>
                </c:pt>
                <c:pt idx="304">
                  <c:v>44894</c:v>
                </c:pt>
                <c:pt idx="305">
                  <c:v>44895</c:v>
                </c:pt>
                <c:pt idx="306">
                  <c:v>44896</c:v>
                </c:pt>
                <c:pt idx="307">
                  <c:v>44897</c:v>
                </c:pt>
                <c:pt idx="308">
                  <c:v>44900</c:v>
                </c:pt>
                <c:pt idx="309">
                  <c:v>44901</c:v>
                </c:pt>
                <c:pt idx="310">
                  <c:v>44902</c:v>
                </c:pt>
                <c:pt idx="311">
                  <c:v>44903</c:v>
                </c:pt>
                <c:pt idx="312">
                  <c:v>44904</c:v>
                </c:pt>
                <c:pt idx="313">
                  <c:v>44907</c:v>
                </c:pt>
                <c:pt idx="314">
                  <c:v>44908</c:v>
                </c:pt>
                <c:pt idx="315">
                  <c:v>44909</c:v>
                </c:pt>
                <c:pt idx="316">
                  <c:v>44910</c:v>
                </c:pt>
                <c:pt idx="317">
                  <c:v>44911</c:v>
                </c:pt>
                <c:pt idx="318">
                  <c:v>44914</c:v>
                </c:pt>
                <c:pt idx="319">
                  <c:v>44915</c:v>
                </c:pt>
                <c:pt idx="320">
                  <c:v>44916</c:v>
                </c:pt>
                <c:pt idx="321">
                  <c:v>44917</c:v>
                </c:pt>
                <c:pt idx="322">
                  <c:v>44918</c:v>
                </c:pt>
                <c:pt idx="323">
                  <c:v>44921</c:v>
                </c:pt>
                <c:pt idx="324">
                  <c:v>44922</c:v>
                </c:pt>
                <c:pt idx="325">
                  <c:v>44923</c:v>
                </c:pt>
                <c:pt idx="326">
                  <c:v>44924</c:v>
                </c:pt>
                <c:pt idx="327">
                  <c:v>44925</c:v>
                </c:pt>
                <c:pt idx="328">
                  <c:v>44928</c:v>
                </c:pt>
                <c:pt idx="329">
                  <c:v>44929</c:v>
                </c:pt>
                <c:pt idx="330">
                  <c:v>44930</c:v>
                </c:pt>
                <c:pt idx="331">
                  <c:v>44931</c:v>
                </c:pt>
                <c:pt idx="332">
                  <c:v>44932</c:v>
                </c:pt>
                <c:pt idx="333">
                  <c:v>44935</c:v>
                </c:pt>
                <c:pt idx="334">
                  <c:v>44936</c:v>
                </c:pt>
                <c:pt idx="335">
                  <c:v>44937</c:v>
                </c:pt>
                <c:pt idx="336">
                  <c:v>44938</c:v>
                </c:pt>
                <c:pt idx="337">
                  <c:v>44939</c:v>
                </c:pt>
                <c:pt idx="338">
                  <c:v>44942</c:v>
                </c:pt>
                <c:pt idx="339">
                  <c:v>44943</c:v>
                </c:pt>
                <c:pt idx="340">
                  <c:v>44944</c:v>
                </c:pt>
                <c:pt idx="341">
                  <c:v>44945</c:v>
                </c:pt>
                <c:pt idx="342">
                  <c:v>44946</c:v>
                </c:pt>
                <c:pt idx="343">
                  <c:v>44949</c:v>
                </c:pt>
                <c:pt idx="344">
                  <c:v>44950</c:v>
                </c:pt>
                <c:pt idx="345">
                  <c:v>44951</c:v>
                </c:pt>
                <c:pt idx="346">
                  <c:v>44953</c:v>
                </c:pt>
                <c:pt idx="347">
                  <c:v>44956</c:v>
                </c:pt>
                <c:pt idx="348">
                  <c:v>44957</c:v>
                </c:pt>
                <c:pt idx="349">
                  <c:v>44958</c:v>
                </c:pt>
                <c:pt idx="350">
                  <c:v>44959</c:v>
                </c:pt>
                <c:pt idx="351">
                  <c:v>44960</c:v>
                </c:pt>
                <c:pt idx="352">
                  <c:v>44963</c:v>
                </c:pt>
                <c:pt idx="353">
                  <c:v>44964</c:v>
                </c:pt>
                <c:pt idx="354">
                  <c:v>44965</c:v>
                </c:pt>
                <c:pt idx="355">
                  <c:v>44966</c:v>
                </c:pt>
                <c:pt idx="356">
                  <c:v>44967</c:v>
                </c:pt>
                <c:pt idx="357">
                  <c:v>44970</c:v>
                </c:pt>
                <c:pt idx="358">
                  <c:v>44971</c:v>
                </c:pt>
                <c:pt idx="359">
                  <c:v>44972</c:v>
                </c:pt>
                <c:pt idx="360">
                  <c:v>44973</c:v>
                </c:pt>
                <c:pt idx="361">
                  <c:v>44974</c:v>
                </c:pt>
                <c:pt idx="362">
                  <c:v>44977</c:v>
                </c:pt>
                <c:pt idx="363">
                  <c:v>44978</c:v>
                </c:pt>
                <c:pt idx="364">
                  <c:v>44979</c:v>
                </c:pt>
                <c:pt idx="365">
                  <c:v>44980</c:v>
                </c:pt>
                <c:pt idx="366">
                  <c:v>44981</c:v>
                </c:pt>
                <c:pt idx="367">
                  <c:v>44984</c:v>
                </c:pt>
                <c:pt idx="368">
                  <c:v>44985</c:v>
                </c:pt>
                <c:pt idx="369">
                  <c:v>44986</c:v>
                </c:pt>
                <c:pt idx="370">
                  <c:v>44987</c:v>
                </c:pt>
                <c:pt idx="371">
                  <c:v>44988</c:v>
                </c:pt>
                <c:pt idx="372">
                  <c:v>44991</c:v>
                </c:pt>
                <c:pt idx="373">
                  <c:v>44993</c:v>
                </c:pt>
                <c:pt idx="374">
                  <c:v>44994</c:v>
                </c:pt>
                <c:pt idx="375">
                  <c:v>44995</c:v>
                </c:pt>
                <c:pt idx="376">
                  <c:v>44998</c:v>
                </c:pt>
                <c:pt idx="377">
                  <c:v>44999</c:v>
                </c:pt>
                <c:pt idx="378">
                  <c:v>45000</c:v>
                </c:pt>
                <c:pt idx="379">
                  <c:v>45001</c:v>
                </c:pt>
                <c:pt idx="380">
                  <c:v>45002</c:v>
                </c:pt>
                <c:pt idx="381">
                  <c:v>45005</c:v>
                </c:pt>
                <c:pt idx="382">
                  <c:v>45006</c:v>
                </c:pt>
                <c:pt idx="383">
                  <c:v>45007</c:v>
                </c:pt>
                <c:pt idx="384">
                  <c:v>45008</c:v>
                </c:pt>
                <c:pt idx="385">
                  <c:v>45009</c:v>
                </c:pt>
                <c:pt idx="386">
                  <c:v>45012</c:v>
                </c:pt>
                <c:pt idx="387">
                  <c:v>45013</c:v>
                </c:pt>
                <c:pt idx="388">
                  <c:v>45014</c:v>
                </c:pt>
                <c:pt idx="389">
                  <c:v>45016</c:v>
                </c:pt>
                <c:pt idx="390">
                  <c:v>45019</c:v>
                </c:pt>
                <c:pt idx="391">
                  <c:v>45021</c:v>
                </c:pt>
                <c:pt idx="392">
                  <c:v>45022</c:v>
                </c:pt>
                <c:pt idx="393">
                  <c:v>45026</c:v>
                </c:pt>
                <c:pt idx="394">
                  <c:v>45027</c:v>
                </c:pt>
                <c:pt idx="395">
                  <c:v>45028</c:v>
                </c:pt>
                <c:pt idx="396">
                  <c:v>45029</c:v>
                </c:pt>
                <c:pt idx="397">
                  <c:v>45033</c:v>
                </c:pt>
                <c:pt idx="398">
                  <c:v>45034</c:v>
                </c:pt>
                <c:pt idx="399">
                  <c:v>45035</c:v>
                </c:pt>
                <c:pt idx="400">
                  <c:v>45036</c:v>
                </c:pt>
                <c:pt idx="401">
                  <c:v>45037</c:v>
                </c:pt>
                <c:pt idx="402">
                  <c:v>45040</c:v>
                </c:pt>
                <c:pt idx="403">
                  <c:v>45041</c:v>
                </c:pt>
                <c:pt idx="404">
                  <c:v>45042</c:v>
                </c:pt>
                <c:pt idx="405">
                  <c:v>45043</c:v>
                </c:pt>
                <c:pt idx="406">
                  <c:v>45044</c:v>
                </c:pt>
                <c:pt idx="407">
                  <c:v>45048</c:v>
                </c:pt>
                <c:pt idx="408">
                  <c:v>45049</c:v>
                </c:pt>
                <c:pt idx="409">
                  <c:v>45050</c:v>
                </c:pt>
                <c:pt idx="410">
                  <c:v>45051</c:v>
                </c:pt>
                <c:pt idx="411">
                  <c:v>45054</c:v>
                </c:pt>
                <c:pt idx="412">
                  <c:v>45055</c:v>
                </c:pt>
                <c:pt idx="413">
                  <c:v>45056</c:v>
                </c:pt>
                <c:pt idx="414">
                  <c:v>45057</c:v>
                </c:pt>
                <c:pt idx="415">
                  <c:v>45058</c:v>
                </c:pt>
                <c:pt idx="416">
                  <c:v>45061</c:v>
                </c:pt>
                <c:pt idx="417">
                  <c:v>45062</c:v>
                </c:pt>
                <c:pt idx="418">
                  <c:v>45063</c:v>
                </c:pt>
                <c:pt idx="419">
                  <c:v>45064</c:v>
                </c:pt>
                <c:pt idx="420">
                  <c:v>45065</c:v>
                </c:pt>
                <c:pt idx="421">
                  <c:v>45068</c:v>
                </c:pt>
                <c:pt idx="422">
                  <c:v>45069</c:v>
                </c:pt>
                <c:pt idx="423">
                  <c:v>45070</c:v>
                </c:pt>
                <c:pt idx="424">
                  <c:v>45071</c:v>
                </c:pt>
                <c:pt idx="425">
                  <c:v>45072</c:v>
                </c:pt>
                <c:pt idx="426">
                  <c:v>45075</c:v>
                </c:pt>
                <c:pt idx="427">
                  <c:v>45076</c:v>
                </c:pt>
                <c:pt idx="428">
                  <c:v>45077</c:v>
                </c:pt>
                <c:pt idx="429">
                  <c:v>45078</c:v>
                </c:pt>
                <c:pt idx="430">
                  <c:v>45079</c:v>
                </c:pt>
                <c:pt idx="431">
                  <c:v>45082</c:v>
                </c:pt>
                <c:pt idx="432">
                  <c:v>45083</c:v>
                </c:pt>
                <c:pt idx="433">
                  <c:v>45084</c:v>
                </c:pt>
                <c:pt idx="434">
                  <c:v>45085</c:v>
                </c:pt>
                <c:pt idx="435">
                  <c:v>45086</c:v>
                </c:pt>
                <c:pt idx="436">
                  <c:v>45089</c:v>
                </c:pt>
                <c:pt idx="437">
                  <c:v>45090</c:v>
                </c:pt>
                <c:pt idx="438">
                  <c:v>45091</c:v>
                </c:pt>
                <c:pt idx="439">
                  <c:v>45092</c:v>
                </c:pt>
                <c:pt idx="440">
                  <c:v>45093</c:v>
                </c:pt>
                <c:pt idx="441">
                  <c:v>45096</c:v>
                </c:pt>
                <c:pt idx="442">
                  <c:v>45097</c:v>
                </c:pt>
                <c:pt idx="443">
                  <c:v>45098</c:v>
                </c:pt>
                <c:pt idx="444">
                  <c:v>45099</c:v>
                </c:pt>
                <c:pt idx="445">
                  <c:v>45100</c:v>
                </c:pt>
                <c:pt idx="446">
                  <c:v>45103</c:v>
                </c:pt>
                <c:pt idx="447">
                  <c:v>45104</c:v>
                </c:pt>
                <c:pt idx="448">
                  <c:v>45105</c:v>
                </c:pt>
                <c:pt idx="449">
                  <c:v>45107</c:v>
                </c:pt>
                <c:pt idx="450">
                  <c:v>45110</c:v>
                </c:pt>
                <c:pt idx="451">
                  <c:v>45111</c:v>
                </c:pt>
                <c:pt idx="452">
                  <c:v>45112</c:v>
                </c:pt>
                <c:pt idx="453">
                  <c:v>45113</c:v>
                </c:pt>
                <c:pt idx="454">
                  <c:v>45114</c:v>
                </c:pt>
                <c:pt idx="455">
                  <c:v>45117</c:v>
                </c:pt>
                <c:pt idx="456">
                  <c:v>45118</c:v>
                </c:pt>
                <c:pt idx="457">
                  <c:v>45119</c:v>
                </c:pt>
                <c:pt idx="458">
                  <c:v>45120</c:v>
                </c:pt>
                <c:pt idx="459">
                  <c:v>45121</c:v>
                </c:pt>
                <c:pt idx="460">
                  <c:v>45124</c:v>
                </c:pt>
                <c:pt idx="461">
                  <c:v>45125</c:v>
                </c:pt>
                <c:pt idx="462">
                  <c:v>45126</c:v>
                </c:pt>
                <c:pt idx="463">
                  <c:v>45127</c:v>
                </c:pt>
                <c:pt idx="464">
                  <c:v>45128</c:v>
                </c:pt>
                <c:pt idx="465">
                  <c:v>45131</c:v>
                </c:pt>
                <c:pt idx="466">
                  <c:v>45132</c:v>
                </c:pt>
                <c:pt idx="467">
                  <c:v>45133</c:v>
                </c:pt>
                <c:pt idx="468">
                  <c:v>45134</c:v>
                </c:pt>
                <c:pt idx="469">
                  <c:v>45135</c:v>
                </c:pt>
                <c:pt idx="470">
                  <c:v>45138</c:v>
                </c:pt>
                <c:pt idx="471">
                  <c:v>45139</c:v>
                </c:pt>
                <c:pt idx="472">
                  <c:v>45140</c:v>
                </c:pt>
                <c:pt idx="473">
                  <c:v>45141</c:v>
                </c:pt>
                <c:pt idx="474">
                  <c:v>45142</c:v>
                </c:pt>
                <c:pt idx="475">
                  <c:v>45145</c:v>
                </c:pt>
                <c:pt idx="476">
                  <c:v>45146</c:v>
                </c:pt>
                <c:pt idx="477">
                  <c:v>45147</c:v>
                </c:pt>
                <c:pt idx="478">
                  <c:v>45148</c:v>
                </c:pt>
                <c:pt idx="479">
                  <c:v>45149</c:v>
                </c:pt>
                <c:pt idx="480">
                  <c:v>45152</c:v>
                </c:pt>
                <c:pt idx="481">
                  <c:v>45154</c:v>
                </c:pt>
                <c:pt idx="482">
                  <c:v>45155</c:v>
                </c:pt>
                <c:pt idx="483">
                  <c:v>45156</c:v>
                </c:pt>
                <c:pt idx="484">
                  <c:v>45159</c:v>
                </c:pt>
                <c:pt idx="485">
                  <c:v>45160</c:v>
                </c:pt>
                <c:pt idx="486">
                  <c:v>45161</c:v>
                </c:pt>
                <c:pt idx="487">
                  <c:v>45162</c:v>
                </c:pt>
                <c:pt idx="488">
                  <c:v>45163</c:v>
                </c:pt>
                <c:pt idx="489">
                  <c:v>45166</c:v>
                </c:pt>
                <c:pt idx="490">
                  <c:v>45167</c:v>
                </c:pt>
                <c:pt idx="491">
                  <c:v>45168</c:v>
                </c:pt>
                <c:pt idx="492">
                  <c:v>45169</c:v>
                </c:pt>
                <c:pt idx="493">
                  <c:v>45170</c:v>
                </c:pt>
                <c:pt idx="494">
                  <c:v>45173</c:v>
                </c:pt>
                <c:pt idx="495">
                  <c:v>45174</c:v>
                </c:pt>
                <c:pt idx="496">
                  <c:v>45175</c:v>
                </c:pt>
                <c:pt idx="497">
                  <c:v>45176</c:v>
                </c:pt>
                <c:pt idx="498">
                  <c:v>45177</c:v>
                </c:pt>
                <c:pt idx="499">
                  <c:v>45180</c:v>
                </c:pt>
                <c:pt idx="500">
                  <c:v>45181</c:v>
                </c:pt>
                <c:pt idx="501">
                  <c:v>45182</c:v>
                </c:pt>
                <c:pt idx="502">
                  <c:v>45183</c:v>
                </c:pt>
                <c:pt idx="503">
                  <c:v>45184</c:v>
                </c:pt>
                <c:pt idx="504">
                  <c:v>45187</c:v>
                </c:pt>
                <c:pt idx="505">
                  <c:v>45189</c:v>
                </c:pt>
                <c:pt idx="506">
                  <c:v>45190</c:v>
                </c:pt>
                <c:pt idx="507">
                  <c:v>45191</c:v>
                </c:pt>
                <c:pt idx="508">
                  <c:v>45194</c:v>
                </c:pt>
                <c:pt idx="509">
                  <c:v>45195</c:v>
                </c:pt>
                <c:pt idx="510">
                  <c:v>45196</c:v>
                </c:pt>
                <c:pt idx="511">
                  <c:v>45197</c:v>
                </c:pt>
                <c:pt idx="512">
                  <c:v>45198</c:v>
                </c:pt>
                <c:pt idx="513">
                  <c:v>45202</c:v>
                </c:pt>
                <c:pt idx="514">
                  <c:v>45203</c:v>
                </c:pt>
                <c:pt idx="515">
                  <c:v>45204</c:v>
                </c:pt>
                <c:pt idx="516">
                  <c:v>45205</c:v>
                </c:pt>
                <c:pt idx="517">
                  <c:v>45208</c:v>
                </c:pt>
                <c:pt idx="518">
                  <c:v>45209</c:v>
                </c:pt>
                <c:pt idx="519">
                  <c:v>45210</c:v>
                </c:pt>
                <c:pt idx="520">
                  <c:v>45211</c:v>
                </c:pt>
                <c:pt idx="521">
                  <c:v>45212</c:v>
                </c:pt>
                <c:pt idx="522">
                  <c:v>45215</c:v>
                </c:pt>
                <c:pt idx="523">
                  <c:v>45216</c:v>
                </c:pt>
                <c:pt idx="524">
                  <c:v>45217</c:v>
                </c:pt>
                <c:pt idx="525">
                  <c:v>45218</c:v>
                </c:pt>
                <c:pt idx="526">
                  <c:v>45219</c:v>
                </c:pt>
                <c:pt idx="527">
                  <c:v>45222</c:v>
                </c:pt>
                <c:pt idx="528">
                  <c:v>45224</c:v>
                </c:pt>
                <c:pt idx="529">
                  <c:v>45225</c:v>
                </c:pt>
                <c:pt idx="530">
                  <c:v>45226</c:v>
                </c:pt>
                <c:pt idx="531">
                  <c:v>45229</c:v>
                </c:pt>
                <c:pt idx="532">
                  <c:v>45230</c:v>
                </c:pt>
                <c:pt idx="533">
                  <c:v>45231</c:v>
                </c:pt>
                <c:pt idx="534">
                  <c:v>45232</c:v>
                </c:pt>
                <c:pt idx="535">
                  <c:v>45233</c:v>
                </c:pt>
                <c:pt idx="536">
                  <c:v>45236</c:v>
                </c:pt>
                <c:pt idx="537">
                  <c:v>45237</c:v>
                </c:pt>
                <c:pt idx="538">
                  <c:v>45238</c:v>
                </c:pt>
                <c:pt idx="539">
                  <c:v>45239</c:v>
                </c:pt>
                <c:pt idx="540">
                  <c:v>45240</c:v>
                </c:pt>
                <c:pt idx="541">
                  <c:v>45243</c:v>
                </c:pt>
                <c:pt idx="542">
                  <c:v>45245</c:v>
                </c:pt>
                <c:pt idx="543">
                  <c:v>45246</c:v>
                </c:pt>
                <c:pt idx="544">
                  <c:v>45247</c:v>
                </c:pt>
                <c:pt idx="545">
                  <c:v>45250</c:v>
                </c:pt>
                <c:pt idx="546">
                  <c:v>45251</c:v>
                </c:pt>
                <c:pt idx="547">
                  <c:v>45252</c:v>
                </c:pt>
                <c:pt idx="548">
                  <c:v>45253</c:v>
                </c:pt>
                <c:pt idx="549">
                  <c:v>45254</c:v>
                </c:pt>
                <c:pt idx="550">
                  <c:v>45258</c:v>
                </c:pt>
                <c:pt idx="551">
                  <c:v>45259</c:v>
                </c:pt>
                <c:pt idx="552">
                  <c:v>45260</c:v>
                </c:pt>
                <c:pt idx="553">
                  <c:v>45261</c:v>
                </c:pt>
                <c:pt idx="554">
                  <c:v>45264</c:v>
                </c:pt>
                <c:pt idx="555">
                  <c:v>45265</c:v>
                </c:pt>
                <c:pt idx="556">
                  <c:v>45266</c:v>
                </c:pt>
                <c:pt idx="557">
                  <c:v>45267</c:v>
                </c:pt>
                <c:pt idx="558">
                  <c:v>45268</c:v>
                </c:pt>
                <c:pt idx="559">
                  <c:v>45271</c:v>
                </c:pt>
                <c:pt idx="560">
                  <c:v>45272</c:v>
                </c:pt>
                <c:pt idx="561">
                  <c:v>45273</c:v>
                </c:pt>
                <c:pt idx="562">
                  <c:v>45274</c:v>
                </c:pt>
                <c:pt idx="563">
                  <c:v>45275</c:v>
                </c:pt>
                <c:pt idx="564">
                  <c:v>45278</c:v>
                </c:pt>
                <c:pt idx="565">
                  <c:v>45279</c:v>
                </c:pt>
                <c:pt idx="566">
                  <c:v>45280</c:v>
                </c:pt>
                <c:pt idx="567">
                  <c:v>45281</c:v>
                </c:pt>
                <c:pt idx="568">
                  <c:v>45282</c:v>
                </c:pt>
                <c:pt idx="569">
                  <c:v>45286</c:v>
                </c:pt>
                <c:pt idx="570">
                  <c:v>45287</c:v>
                </c:pt>
                <c:pt idx="571">
                  <c:v>45288</c:v>
                </c:pt>
                <c:pt idx="572">
                  <c:v>45289</c:v>
                </c:pt>
                <c:pt idx="573">
                  <c:v>45292</c:v>
                </c:pt>
                <c:pt idx="574">
                  <c:v>45293</c:v>
                </c:pt>
                <c:pt idx="575">
                  <c:v>45294</c:v>
                </c:pt>
                <c:pt idx="576">
                  <c:v>45295</c:v>
                </c:pt>
                <c:pt idx="577">
                  <c:v>45296</c:v>
                </c:pt>
                <c:pt idx="578">
                  <c:v>45299</c:v>
                </c:pt>
                <c:pt idx="579">
                  <c:v>45300</c:v>
                </c:pt>
                <c:pt idx="580">
                  <c:v>45301</c:v>
                </c:pt>
                <c:pt idx="581">
                  <c:v>45302</c:v>
                </c:pt>
                <c:pt idx="582">
                  <c:v>45303</c:v>
                </c:pt>
                <c:pt idx="583">
                  <c:v>45306</c:v>
                </c:pt>
                <c:pt idx="584">
                  <c:v>45307</c:v>
                </c:pt>
                <c:pt idx="585">
                  <c:v>45308</c:v>
                </c:pt>
                <c:pt idx="586">
                  <c:v>45309</c:v>
                </c:pt>
                <c:pt idx="587">
                  <c:v>45310</c:v>
                </c:pt>
                <c:pt idx="588">
                  <c:v>45314</c:v>
                </c:pt>
                <c:pt idx="589">
                  <c:v>45315</c:v>
                </c:pt>
                <c:pt idx="590">
                  <c:v>45316</c:v>
                </c:pt>
                <c:pt idx="591">
                  <c:v>45320</c:v>
                </c:pt>
                <c:pt idx="592">
                  <c:v>45321</c:v>
                </c:pt>
                <c:pt idx="593">
                  <c:v>45322</c:v>
                </c:pt>
                <c:pt idx="594">
                  <c:v>45323</c:v>
                </c:pt>
                <c:pt idx="595">
                  <c:v>45324</c:v>
                </c:pt>
                <c:pt idx="596">
                  <c:v>45327</c:v>
                </c:pt>
                <c:pt idx="597">
                  <c:v>45328</c:v>
                </c:pt>
                <c:pt idx="598">
                  <c:v>45329</c:v>
                </c:pt>
                <c:pt idx="599">
                  <c:v>45330</c:v>
                </c:pt>
                <c:pt idx="600">
                  <c:v>45331</c:v>
                </c:pt>
                <c:pt idx="601">
                  <c:v>45334</c:v>
                </c:pt>
                <c:pt idx="602">
                  <c:v>45335</c:v>
                </c:pt>
                <c:pt idx="603">
                  <c:v>45336</c:v>
                </c:pt>
                <c:pt idx="604">
                  <c:v>45337</c:v>
                </c:pt>
                <c:pt idx="605">
                  <c:v>45338</c:v>
                </c:pt>
                <c:pt idx="606">
                  <c:v>45341</c:v>
                </c:pt>
                <c:pt idx="607">
                  <c:v>45342</c:v>
                </c:pt>
                <c:pt idx="608">
                  <c:v>45343</c:v>
                </c:pt>
                <c:pt idx="609">
                  <c:v>45344</c:v>
                </c:pt>
                <c:pt idx="610">
                  <c:v>45345</c:v>
                </c:pt>
                <c:pt idx="611">
                  <c:v>45348</c:v>
                </c:pt>
                <c:pt idx="612">
                  <c:v>45349</c:v>
                </c:pt>
                <c:pt idx="613">
                  <c:v>45350</c:v>
                </c:pt>
                <c:pt idx="614">
                  <c:v>45351</c:v>
                </c:pt>
                <c:pt idx="615">
                  <c:v>45352</c:v>
                </c:pt>
                <c:pt idx="616">
                  <c:v>45355</c:v>
                </c:pt>
                <c:pt idx="617">
                  <c:v>45356</c:v>
                </c:pt>
                <c:pt idx="618">
                  <c:v>45357</c:v>
                </c:pt>
                <c:pt idx="619">
                  <c:v>45358</c:v>
                </c:pt>
                <c:pt idx="620">
                  <c:v>45362</c:v>
                </c:pt>
                <c:pt idx="621">
                  <c:v>45363</c:v>
                </c:pt>
                <c:pt idx="622">
                  <c:v>45364</c:v>
                </c:pt>
                <c:pt idx="623">
                  <c:v>45365</c:v>
                </c:pt>
                <c:pt idx="624">
                  <c:v>45369</c:v>
                </c:pt>
                <c:pt idx="625">
                  <c:v>45370</c:v>
                </c:pt>
                <c:pt idx="626">
                  <c:v>45371</c:v>
                </c:pt>
                <c:pt idx="627">
                  <c:v>45372</c:v>
                </c:pt>
                <c:pt idx="628">
                  <c:v>45373</c:v>
                </c:pt>
                <c:pt idx="629">
                  <c:v>45377</c:v>
                </c:pt>
                <c:pt idx="630">
                  <c:v>45378</c:v>
                </c:pt>
                <c:pt idx="631">
                  <c:v>45379</c:v>
                </c:pt>
                <c:pt idx="632">
                  <c:v>45383</c:v>
                </c:pt>
                <c:pt idx="633">
                  <c:v>45384</c:v>
                </c:pt>
                <c:pt idx="634">
                  <c:v>45385</c:v>
                </c:pt>
                <c:pt idx="635">
                  <c:v>45386</c:v>
                </c:pt>
                <c:pt idx="636">
                  <c:v>45387</c:v>
                </c:pt>
                <c:pt idx="637">
                  <c:v>45390</c:v>
                </c:pt>
                <c:pt idx="638">
                  <c:v>45391</c:v>
                </c:pt>
                <c:pt idx="639">
                  <c:v>45392</c:v>
                </c:pt>
                <c:pt idx="640">
                  <c:v>45394</c:v>
                </c:pt>
                <c:pt idx="641">
                  <c:v>45397</c:v>
                </c:pt>
                <c:pt idx="642">
                  <c:v>45398</c:v>
                </c:pt>
                <c:pt idx="643">
                  <c:v>45400</c:v>
                </c:pt>
                <c:pt idx="644">
                  <c:v>45401</c:v>
                </c:pt>
                <c:pt idx="645">
                  <c:v>45404</c:v>
                </c:pt>
                <c:pt idx="646">
                  <c:v>45405</c:v>
                </c:pt>
                <c:pt idx="647">
                  <c:v>45406</c:v>
                </c:pt>
                <c:pt idx="648">
                  <c:v>45407</c:v>
                </c:pt>
                <c:pt idx="649">
                  <c:v>45408</c:v>
                </c:pt>
                <c:pt idx="650">
                  <c:v>45411</c:v>
                </c:pt>
                <c:pt idx="651">
                  <c:v>45412</c:v>
                </c:pt>
                <c:pt idx="652">
                  <c:v>45414</c:v>
                </c:pt>
                <c:pt idx="653">
                  <c:v>45415</c:v>
                </c:pt>
                <c:pt idx="654">
                  <c:v>45418</c:v>
                </c:pt>
                <c:pt idx="655">
                  <c:v>45419</c:v>
                </c:pt>
                <c:pt idx="656">
                  <c:v>45420</c:v>
                </c:pt>
                <c:pt idx="657">
                  <c:v>45421</c:v>
                </c:pt>
                <c:pt idx="658">
                  <c:v>45422</c:v>
                </c:pt>
                <c:pt idx="659">
                  <c:v>45425</c:v>
                </c:pt>
                <c:pt idx="660">
                  <c:v>45426</c:v>
                </c:pt>
                <c:pt idx="661">
                  <c:v>45427</c:v>
                </c:pt>
                <c:pt idx="662">
                  <c:v>45428</c:v>
                </c:pt>
                <c:pt idx="663">
                  <c:v>45429</c:v>
                </c:pt>
                <c:pt idx="664">
                  <c:v>45433</c:v>
                </c:pt>
                <c:pt idx="665">
                  <c:v>45434</c:v>
                </c:pt>
                <c:pt idx="666">
                  <c:v>45435</c:v>
                </c:pt>
                <c:pt idx="667">
                  <c:v>45436</c:v>
                </c:pt>
                <c:pt idx="668">
                  <c:v>45439</c:v>
                </c:pt>
                <c:pt idx="669">
                  <c:v>45440</c:v>
                </c:pt>
                <c:pt idx="670">
                  <c:v>45441</c:v>
                </c:pt>
                <c:pt idx="671">
                  <c:v>45442</c:v>
                </c:pt>
                <c:pt idx="672">
                  <c:v>45443</c:v>
                </c:pt>
                <c:pt idx="673">
                  <c:v>45446</c:v>
                </c:pt>
                <c:pt idx="674">
                  <c:v>45447</c:v>
                </c:pt>
                <c:pt idx="675">
                  <c:v>45448</c:v>
                </c:pt>
                <c:pt idx="676">
                  <c:v>45449</c:v>
                </c:pt>
                <c:pt idx="677">
                  <c:v>45450</c:v>
                </c:pt>
                <c:pt idx="678">
                  <c:v>45453</c:v>
                </c:pt>
                <c:pt idx="679">
                  <c:v>45454</c:v>
                </c:pt>
                <c:pt idx="680">
                  <c:v>45455</c:v>
                </c:pt>
                <c:pt idx="681">
                  <c:v>45456</c:v>
                </c:pt>
                <c:pt idx="682">
                  <c:v>45457</c:v>
                </c:pt>
                <c:pt idx="683">
                  <c:v>45461</c:v>
                </c:pt>
                <c:pt idx="684">
                  <c:v>45462</c:v>
                </c:pt>
                <c:pt idx="685">
                  <c:v>45463</c:v>
                </c:pt>
                <c:pt idx="686">
                  <c:v>45464</c:v>
                </c:pt>
                <c:pt idx="687">
                  <c:v>45467</c:v>
                </c:pt>
                <c:pt idx="688">
                  <c:v>45468</c:v>
                </c:pt>
                <c:pt idx="689">
                  <c:v>45469</c:v>
                </c:pt>
                <c:pt idx="690">
                  <c:v>45470</c:v>
                </c:pt>
                <c:pt idx="691">
                  <c:v>45471</c:v>
                </c:pt>
                <c:pt idx="692">
                  <c:v>45474</c:v>
                </c:pt>
                <c:pt idx="693">
                  <c:v>45475</c:v>
                </c:pt>
                <c:pt idx="694">
                  <c:v>45476</c:v>
                </c:pt>
                <c:pt idx="695">
                  <c:v>45477</c:v>
                </c:pt>
                <c:pt idx="696">
                  <c:v>45478</c:v>
                </c:pt>
                <c:pt idx="697">
                  <c:v>45481</c:v>
                </c:pt>
                <c:pt idx="698">
                  <c:v>45482</c:v>
                </c:pt>
                <c:pt idx="699">
                  <c:v>45483</c:v>
                </c:pt>
                <c:pt idx="700">
                  <c:v>45484</c:v>
                </c:pt>
                <c:pt idx="701">
                  <c:v>45485</c:v>
                </c:pt>
                <c:pt idx="702">
                  <c:v>45488</c:v>
                </c:pt>
                <c:pt idx="703">
                  <c:v>45489</c:v>
                </c:pt>
                <c:pt idx="704">
                  <c:v>45491</c:v>
                </c:pt>
                <c:pt idx="705">
                  <c:v>45492</c:v>
                </c:pt>
                <c:pt idx="706">
                  <c:v>45495</c:v>
                </c:pt>
                <c:pt idx="707">
                  <c:v>45496</c:v>
                </c:pt>
                <c:pt idx="708">
                  <c:v>45497</c:v>
                </c:pt>
                <c:pt idx="709">
                  <c:v>45498</c:v>
                </c:pt>
                <c:pt idx="710">
                  <c:v>45499</c:v>
                </c:pt>
                <c:pt idx="711">
                  <c:v>45502</c:v>
                </c:pt>
                <c:pt idx="712">
                  <c:v>45503</c:v>
                </c:pt>
                <c:pt idx="713">
                  <c:v>45504</c:v>
                </c:pt>
                <c:pt idx="714">
                  <c:v>45505</c:v>
                </c:pt>
                <c:pt idx="715">
                  <c:v>45506</c:v>
                </c:pt>
                <c:pt idx="716">
                  <c:v>45509</c:v>
                </c:pt>
                <c:pt idx="717">
                  <c:v>45510</c:v>
                </c:pt>
                <c:pt idx="718">
                  <c:v>45511</c:v>
                </c:pt>
                <c:pt idx="719">
                  <c:v>45512</c:v>
                </c:pt>
                <c:pt idx="720">
                  <c:v>45513</c:v>
                </c:pt>
                <c:pt idx="721">
                  <c:v>45516</c:v>
                </c:pt>
                <c:pt idx="722">
                  <c:v>45517</c:v>
                </c:pt>
                <c:pt idx="723">
                  <c:v>45518</c:v>
                </c:pt>
                <c:pt idx="724">
                  <c:v>45520</c:v>
                </c:pt>
                <c:pt idx="725">
                  <c:v>45523</c:v>
                </c:pt>
                <c:pt idx="726">
                  <c:v>45524</c:v>
                </c:pt>
                <c:pt idx="727">
                  <c:v>45525</c:v>
                </c:pt>
                <c:pt idx="728">
                  <c:v>45526</c:v>
                </c:pt>
                <c:pt idx="729">
                  <c:v>45527</c:v>
                </c:pt>
                <c:pt idx="730">
                  <c:v>45530</c:v>
                </c:pt>
                <c:pt idx="731">
                  <c:v>45531</c:v>
                </c:pt>
                <c:pt idx="732">
                  <c:v>45532</c:v>
                </c:pt>
                <c:pt idx="733">
                  <c:v>45533</c:v>
                </c:pt>
                <c:pt idx="734">
                  <c:v>45534</c:v>
                </c:pt>
                <c:pt idx="735">
                  <c:v>45537</c:v>
                </c:pt>
                <c:pt idx="736">
                  <c:v>45538</c:v>
                </c:pt>
                <c:pt idx="737">
                  <c:v>45539</c:v>
                </c:pt>
                <c:pt idx="738">
                  <c:v>45540</c:v>
                </c:pt>
                <c:pt idx="739">
                  <c:v>45541</c:v>
                </c:pt>
                <c:pt idx="740">
                  <c:v>45544</c:v>
                </c:pt>
                <c:pt idx="741">
                  <c:v>45545</c:v>
                </c:pt>
                <c:pt idx="742">
                  <c:v>45546</c:v>
                </c:pt>
                <c:pt idx="743">
                  <c:v>45547</c:v>
                </c:pt>
                <c:pt idx="744">
                  <c:v>45548</c:v>
                </c:pt>
                <c:pt idx="745">
                  <c:v>45551</c:v>
                </c:pt>
                <c:pt idx="746">
                  <c:v>45552</c:v>
                </c:pt>
                <c:pt idx="747">
                  <c:v>45553</c:v>
                </c:pt>
                <c:pt idx="748">
                  <c:v>45554</c:v>
                </c:pt>
                <c:pt idx="749">
                  <c:v>45555</c:v>
                </c:pt>
                <c:pt idx="750">
                  <c:v>45558</c:v>
                </c:pt>
                <c:pt idx="751">
                  <c:v>45559</c:v>
                </c:pt>
                <c:pt idx="752">
                  <c:v>45560</c:v>
                </c:pt>
                <c:pt idx="753">
                  <c:v>45561</c:v>
                </c:pt>
                <c:pt idx="754">
                  <c:v>45562</c:v>
                </c:pt>
                <c:pt idx="755">
                  <c:v>45565</c:v>
                </c:pt>
                <c:pt idx="756">
                  <c:v>45566</c:v>
                </c:pt>
                <c:pt idx="757">
                  <c:v>45568</c:v>
                </c:pt>
                <c:pt idx="758">
                  <c:v>45569</c:v>
                </c:pt>
                <c:pt idx="759">
                  <c:v>45572</c:v>
                </c:pt>
                <c:pt idx="760">
                  <c:v>45573</c:v>
                </c:pt>
                <c:pt idx="761">
                  <c:v>45574</c:v>
                </c:pt>
                <c:pt idx="762">
                  <c:v>45575</c:v>
                </c:pt>
                <c:pt idx="763">
                  <c:v>45576</c:v>
                </c:pt>
                <c:pt idx="764">
                  <c:v>45579</c:v>
                </c:pt>
                <c:pt idx="765">
                  <c:v>45580</c:v>
                </c:pt>
                <c:pt idx="766">
                  <c:v>45581</c:v>
                </c:pt>
                <c:pt idx="767">
                  <c:v>45582</c:v>
                </c:pt>
                <c:pt idx="768">
                  <c:v>45583</c:v>
                </c:pt>
                <c:pt idx="769">
                  <c:v>45586</c:v>
                </c:pt>
                <c:pt idx="770">
                  <c:v>45587</c:v>
                </c:pt>
                <c:pt idx="771">
                  <c:v>45588</c:v>
                </c:pt>
                <c:pt idx="772">
                  <c:v>45589</c:v>
                </c:pt>
                <c:pt idx="773">
                  <c:v>45590</c:v>
                </c:pt>
                <c:pt idx="774">
                  <c:v>45593</c:v>
                </c:pt>
                <c:pt idx="775">
                  <c:v>45594</c:v>
                </c:pt>
                <c:pt idx="776">
                  <c:v>45595</c:v>
                </c:pt>
                <c:pt idx="777">
                  <c:v>45596</c:v>
                </c:pt>
                <c:pt idx="778">
                  <c:v>45597</c:v>
                </c:pt>
                <c:pt idx="779">
                  <c:v>45600</c:v>
                </c:pt>
                <c:pt idx="780">
                  <c:v>45601</c:v>
                </c:pt>
                <c:pt idx="781">
                  <c:v>45602</c:v>
                </c:pt>
                <c:pt idx="782">
                  <c:v>45603</c:v>
                </c:pt>
                <c:pt idx="783">
                  <c:v>45604</c:v>
                </c:pt>
                <c:pt idx="784">
                  <c:v>45607</c:v>
                </c:pt>
                <c:pt idx="785">
                  <c:v>45608</c:v>
                </c:pt>
                <c:pt idx="786">
                  <c:v>45609</c:v>
                </c:pt>
                <c:pt idx="787">
                  <c:v>45610</c:v>
                </c:pt>
                <c:pt idx="788">
                  <c:v>45614</c:v>
                </c:pt>
                <c:pt idx="789">
                  <c:v>45615</c:v>
                </c:pt>
                <c:pt idx="790">
                  <c:v>45617</c:v>
                </c:pt>
                <c:pt idx="791">
                  <c:v>45618</c:v>
                </c:pt>
                <c:pt idx="792">
                  <c:v>45621</c:v>
                </c:pt>
                <c:pt idx="793">
                  <c:v>45622</c:v>
                </c:pt>
                <c:pt idx="794">
                  <c:v>45623</c:v>
                </c:pt>
                <c:pt idx="795">
                  <c:v>45624</c:v>
                </c:pt>
                <c:pt idx="796">
                  <c:v>45625</c:v>
                </c:pt>
                <c:pt idx="797">
                  <c:v>45628</c:v>
                </c:pt>
                <c:pt idx="798">
                  <c:v>45629</c:v>
                </c:pt>
                <c:pt idx="799">
                  <c:v>45630</c:v>
                </c:pt>
                <c:pt idx="800">
                  <c:v>45631</c:v>
                </c:pt>
                <c:pt idx="801">
                  <c:v>45632</c:v>
                </c:pt>
                <c:pt idx="802">
                  <c:v>45635</c:v>
                </c:pt>
                <c:pt idx="803">
                  <c:v>45636</c:v>
                </c:pt>
                <c:pt idx="804">
                  <c:v>45637</c:v>
                </c:pt>
                <c:pt idx="805">
                  <c:v>45638</c:v>
                </c:pt>
                <c:pt idx="806">
                  <c:v>45639</c:v>
                </c:pt>
                <c:pt idx="807">
                  <c:v>45642</c:v>
                </c:pt>
                <c:pt idx="808">
                  <c:v>45643</c:v>
                </c:pt>
                <c:pt idx="809">
                  <c:v>45644</c:v>
                </c:pt>
                <c:pt idx="810">
                  <c:v>45645</c:v>
                </c:pt>
                <c:pt idx="811">
                  <c:v>45646</c:v>
                </c:pt>
                <c:pt idx="812">
                  <c:v>45649</c:v>
                </c:pt>
                <c:pt idx="813">
                  <c:v>45650</c:v>
                </c:pt>
                <c:pt idx="814">
                  <c:v>45652</c:v>
                </c:pt>
                <c:pt idx="815">
                  <c:v>45653</c:v>
                </c:pt>
                <c:pt idx="816">
                  <c:v>45656</c:v>
                </c:pt>
                <c:pt idx="817">
                  <c:v>45657</c:v>
                </c:pt>
                <c:pt idx="818">
                  <c:v>45658</c:v>
                </c:pt>
                <c:pt idx="819">
                  <c:v>45659</c:v>
                </c:pt>
                <c:pt idx="820">
                  <c:v>45660</c:v>
                </c:pt>
                <c:pt idx="821">
                  <c:v>45663</c:v>
                </c:pt>
                <c:pt idx="822">
                  <c:v>45664</c:v>
                </c:pt>
                <c:pt idx="823">
                  <c:v>45665</c:v>
                </c:pt>
                <c:pt idx="824">
                  <c:v>45666</c:v>
                </c:pt>
                <c:pt idx="825">
                  <c:v>45667</c:v>
                </c:pt>
                <c:pt idx="826">
                  <c:v>45670</c:v>
                </c:pt>
                <c:pt idx="827">
                  <c:v>45671</c:v>
                </c:pt>
                <c:pt idx="828">
                  <c:v>45672</c:v>
                </c:pt>
                <c:pt idx="829">
                  <c:v>45673</c:v>
                </c:pt>
                <c:pt idx="830">
                  <c:v>45674</c:v>
                </c:pt>
                <c:pt idx="831">
                  <c:v>45677</c:v>
                </c:pt>
                <c:pt idx="832">
                  <c:v>45678</c:v>
                </c:pt>
                <c:pt idx="833">
                  <c:v>45679</c:v>
                </c:pt>
                <c:pt idx="834">
                  <c:v>45680</c:v>
                </c:pt>
                <c:pt idx="835">
                  <c:v>45681</c:v>
                </c:pt>
                <c:pt idx="836">
                  <c:v>45684</c:v>
                </c:pt>
                <c:pt idx="837">
                  <c:v>45685</c:v>
                </c:pt>
                <c:pt idx="838">
                  <c:v>45686</c:v>
                </c:pt>
                <c:pt idx="839">
                  <c:v>45687</c:v>
                </c:pt>
                <c:pt idx="840">
                  <c:v>45688</c:v>
                </c:pt>
                <c:pt idx="841">
                  <c:v>45691</c:v>
                </c:pt>
                <c:pt idx="842">
                  <c:v>45692</c:v>
                </c:pt>
                <c:pt idx="843">
                  <c:v>45693</c:v>
                </c:pt>
                <c:pt idx="844">
                  <c:v>45694</c:v>
                </c:pt>
                <c:pt idx="845">
                  <c:v>45695</c:v>
                </c:pt>
                <c:pt idx="846">
                  <c:v>45698</c:v>
                </c:pt>
                <c:pt idx="847">
                  <c:v>45699</c:v>
                </c:pt>
                <c:pt idx="848">
                  <c:v>45700</c:v>
                </c:pt>
                <c:pt idx="849">
                  <c:v>45701</c:v>
                </c:pt>
                <c:pt idx="850">
                  <c:v>45702</c:v>
                </c:pt>
                <c:pt idx="851">
                  <c:v>45705</c:v>
                </c:pt>
                <c:pt idx="852">
                  <c:v>45706</c:v>
                </c:pt>
                <c:pt idx="853">
                  <c:v>45707</c:v>
                </c:pt>
                <c:pt idx="854">
                  <c:v>45708</c:v>
                </c:pt>
                <c:pt idx="855">
                  <c:v>45709</c:v>
                </c:pt>
                <c:pt idx="856">
                  <c:v>45712</c:v>
                </c:pt>
                <c:pt idx="857">
                  <c:v>45713</c:v>
                </c:pt>
                <c:pt idx="858">
                  <c:v>45715</c:v>
                </c:pt>
                <c:pt idx="859">
                  <c:v>45716</c:v>
                </c:pt>
                <c:pt idx="860">
                  <c:v>45719</c:v>
                </c:pt>
                <c:pt idx="861">
                  <c:v>45720</c:v>
                </c:pt>
                <c:pt idx="862">
                  <c:v>45721</c:v>
                </c:pt>
                <c:pt idx="863">
                  <c:v>45722</c:v>
                </c:pt>
                <c:pt idx="864">
                  <c:v>45723</c:v>
                </c:pt>
                <c:pt idx="865">
                  <c:v>45726</c:v>
                </c:pt>
                <c:pt idx="866">
                  <c:v>45727</c:v>
                </c:pt>
                <c:pt idx="867">
                  <c:v>45728</c:v>
                </c:pt>
                <c:pt idx="868">
                  <c:v>45729</c:v>
                </c:pt>
                <c:pt idx="869">
                  <c:v>45733</c:v>
                </c:pt>
                <c:pt idx="870">
                  <c:v>45734</c:v>
                </c:pt>
                <c:pt idx="871">
                  <c:v>45735</c:v>
                </c:pt>
                <c:pt idx="872">
                  <c:v>45736</c:v>
                </c:pt>
                <c:pt idx="873">
                  <c:v>45737</c:v>
                </c:pt>
                <c:pt idx="874">
                  <c:v>45740</c:v>
                </c:pt>
                <c:pt idx="875">
                  <c:v>45741</c:v>
                </c:pt>
                <c:pt idx="876">
                  <c:v>45742</c:v>
                </c:pt>
                <c:pt idx="877">
                  <c:v>45743</c:v>
                </c:pt>
                <c:pt idx="878">
                  <c:v>45744</c:v>
                </c:pt>
                <c:pt idx="879">
                  <c:v>45748</c:v>
                </c:pt>
                <c:pt idx="880">
                  <c:v>45749</c:v>
                </c:pt>
                <c:pt idx="881">
                  <c:v>45750</c:v>
                </c:pt>
                <c:pt idx="882">
                  <c:v>45751</c:v>
                </c:pt>
                <c:pt idx="883">
                  <c:v>45754</c:v>
                </c:pt>
                <c:pt idx="884">
                  <c:v>45755</c:v>
                </c:pt>
                <c:pt idx="885">
                  <c:v>45756</c:v>
                </c:pt>
                <c:pt idx="886">
                  <c:v>45758</c:v>
                </c:pt>
                <c:pt idx="887">
                  <c:v>45762</c:v>
                </c:pt>
                <c:pt idx="888">
                  <c:v>45763</c:v>
                </c:pt>
                <c:pt idx="889">
                  <c:v>45764</c:v>
                </c:pt>
                <c:pt idx="890">
                  <c:v>45768</c:v>
                </c:pt>
                <c:pt idx="891">
                  <c:v>45769</c:v>
                </c:pt>
                <c:pt idx="892">
                  <c:v>45770</c:v>
                </c:pt>
                <c:pt idx="893">
                  <c:v>45771</c:v>
                </c:pt>
                <c:pt idx="894">
                  <c:v>45772</c:v>
                </c:pt>
                <c:pt idx="895">
                  <c:v>45775</c:v>
                </c:pt>
                <c:pt idx="896">
                  <c:v>45776</c:v>
                </c:pt>
                <c:pt idx="897">
                  <c:v>45777</c:v>
                </c:pt>
                <c:pt idx="898">
                  <c:v>45779</c:v>
                </c:pt>
                <c:pt idx="899">
                  <c:v>45782</c:v>
                </c:pt>
                <c:pt idx="900">
                  <c:v>45783</c:v>
                </c:pt>
                <c:pt idx="901">
                  <c:v>45784</c:v>
                </c:pt>
                <c:pt idx="902">
                  <c:v>45785</c:v>
                </c:pt>
                <c:pt idx="903">
                  <c:v>45786</c:v>
                </c:pt>
                <c:pt idx="904">
                  <c:v>45789</c:v>
                </c:pt>
                <c:pt idx="905">
                  <c:v>45790</c:v>
                </c:pt>
                <c:pt idx="906">
                  <c:v>45791</c:v>
                </c:pt>
                <c:pt idx="907">
                  <c:v>45792</c:v>
                </c:pt>
                <c:pt idx="908">
                  <c:v>45793</c:v>
                </c:pt>
                <c:pt idx="909">
                  <c:v>45796</c:v>
                </c:pt>
                <c:pt idx="910">
                  <c:v>45797</c:v>
                </c:pt>
                <c:pt idx="911">
                  <c:v>45798</c:v>
                </c:pt>
                <c:pt idx="912">
                  <c:v>45799</c:v>
                </c:pt>
                <c:pt idx="913">
                  <c:v>45800</c:v>
                </c:pt>
                <c:pt idx="914">
                  <c:v>45803</c:v>
                </c:pt>
                <c:pt idx="915">
                  <c:v>45804</c:v>
                </c:pt>
                <c:pt idx="916">
                  <c:v>45805</c:v>
                </c:pt>
                <c:pt idx="917">
                  <c:v>45806</c:v>
                </c:pt>
                <c:pt idx="918">
                  <c:v>45807</c:v>
                </c:pt>
                <c:pt idx="919">
                  <c:v>45810</c:v>
                </c:pt>
                <c:pt idx="920">
                  <c:v>45811</c:v>
                </c:pt>
                <c:pt idx="921">
                  <c:v>45812</c:v>
                </c:pt>
                <c:pt idx="922">
                  <c:v>45813</c:v>
                </c:pt>
                <c:pt idx="923">
                  <c:v>45814</c:v>
                </c:pt>
                <c:pt idx="924">
                  <c:v>45817</c:v>
                </c:pt>
                <c:pt idx="925">
                  <c:v>45818</c:v>
                </c:pt>
                <c:pt idx="926">
                  <c:v>45819</c:v>
                </c:pt>
                <c:pt idx="927">
                  <c:v>45820</c:v>
                </c:pt>
                <c:pt idx="928">
                  <c:v>45821</c:v>
                </c:pt>
                <c:pt idx="929">
                  <c:v>45824</c:v>
                </c:pt>
                <c:pt idx="930">
                  <c:v>45825</c:v>
                </c:pt>
                <c:pt idx="931">
                  <c:v>45826</c:v>
                </c:pt>
                <c:pt idx="932">
                  <c:v>45827</c:v>
                </c:pt>
                <c:pt idx="933">
                  <c:v>45828</c:v>
                </c:pt>
                <c:pt idx="934">
                  <c:v>45831</c:v>
                </c:pt>
                <c:pt idx="935">
                  <c:v>45832</c:v>
                </c:pt>
                <c:pt idx="936">
                  <c:v>45833</c:v>
                </c:pt>
                <c:pt idx="937">
                  <c:v>45834</c:v>
                </c:pt>
                <c:pt idx="938">
                  <c:v>45835</c:v>
                </c:pt>
                <c:pt idx="939">
                  <c:v>45838</c:v>
                </c:pt>
                <c:pt idx="940">
                  <c:v>45839</c:v>
                </c:pt>
                <c:pt idx="941">
                  <c:v>45840</c:v>
                </c:pt>
                <c:pt idx="942">
                  <c:v>45841</c:v>
                </c:pt>
                <c:pt idx="943">
                  <c:v>45842</c:v>
                </c:pt>
                <c:pt idx="944">
                  <c:v>45845</c:v>
                </c:pt>
                <c:pt idx="945">
                  <c:v>45846</c:v>
                </c:pt>
                <c:pt idx="946">
                  <c:v>45847</c:v>
                </c:pt>
                <c:pt idx="947">
                  <c:v>45848</c:v>
                </c:pt>
                <c:pt idx="948">
                  <c:v>45849</c:v>
                </c:pt>
                <c:pt idx="949">
                  <c:v>45852</c:v>
                </c:pt>
                <c:pt idx="950">
                  <c:v>45853</c:v>
                </c:pt>
                <c:pt idx="951">
                  <c:v>45854</c:v>
                </c:pt>
                <c:pt idx="952">
                  <c:v>45855</c:v>
                </c:pt>
                <c:pt idx="953">
                  <c:v>45856</c:v>
                </c:pt>
                <c:pt idx="954">
                  <c:v>45859</c:v>
                </c:pt>
                <c:pt idx="955">
                  <c:v>45860</c:v>
                </c:pt>
                <c:pt idx="956">
                  <c:v>45861</c:v>
                </c:pt>
                <c:pt idx="957">
                  <c:v>45862</c:v>
                </c:pt>
                <c:pt idx="958">
                  <c:v>45863</c:v>
                </c:pt>
                <c:pt idx="959">
                  <c:v>45866</c:v>
                </c:pt>
                <c:pt idx="960">
                  <c:v>45867</c:v>
                </c:pt>
                <c:pt idx="961">
                  <c:v>45868</c:v>
                </c:pt>
                <c:pt idx="962">
                  <c:v>45869</c:v>
                </c:pt>
                <c:pt idx="963">
                  <c:v>45870</c:v>
                </c:pt>
                <c:pt idx="964">
                  <c:v>45873</c:v>
                </c:pt>
                <c:pt idx="965">
                  <c:v>45874</c:v>
                </c:pt>
                <c:pt idx="966">
                  <c:v>45875</c:v>
                </c:pt>
                <c:pt idx="967">
                  <c:v>45876</c:v>
                </c:pt>
                <c:pt idx="968">
                  <c:v>45877</c:v>
                </c:pt>
                <c:pt idx="969">
                  <c:v>45880</c:v>
                </c:pt>
                <c:pt idx="970">
                  <c:v>45881</c:v>
                </c:pt>
                <c:pt idx="971">
                  <c:v>45882</c:v>
                </c:pt>
                <c:pt idx="972">
                  <c:v>45883</c:v>
                </c:pt>
                <c:pt idx="973">
                  <c:v>45887</c:v>
                </c:pt>
                <c:pt idx="974">
                  <c:v>45888</c:v>
                </c:pt>
                <c:pt idx="975">
                  <c:v>45889</c:v>
                </c:pt>
                <c:pt idx="976">
                  <c:v>45890</c:v>
                </c:pt>
                <c:pt idx="977">
                  <c:v>45891</c:v>
                </c:pt>
                <c:pt idx="978">
                  <c:v>45894</c:v>
                </c:pt>
                <c:pt idx="979">
                  <c:v>45895</c:v>
                </c:pt>
                <c:pt idx="980">
                  <c:v>45897</c:v>
                </c:pt>
                <c:pt idx="981">
                  <c:v>45898</c:v>
                </c:pt>
                <c:pt idx="982">
                  <c:v>45901</c:v>
                </c:pt>
                <c:pt idx="983">
                  <c:v>45902</c:v>
                </c:pt>
                <c:pt idx="984">
                  <c:v>45903</c:v>
                </c:pt>
                <c:pt idx="985">
                  <c:v>45904</c:v>
                </c:pt>
                <c:pt idx="986">
                  <c:v>45905</c:v>
                </c:pt>
                <c:pt idx="987">
                  <c:v>45908</c:v>
                </c:pt>
                <c:pt idx="988">
                  <c:v>45909</c:v>
                </c:pt>
                <c:pt idx="989">
                  <c:v>45910</c:v>
                </c:pt>
                <c:pt idx="990">
                  <c:v>45911</c:v>
                </c:pt>
                <c:pt idx="991">
                  <c:v>45912</c:v>
                </c:pt>
                <c:pt idx="992">
                  <c:v>45915</c:v>
                </c:pt>
                <c:pt idx="993">
                  <c:v>45916</c:v>
                </c:pt>
                <c:pt idx="994">
                  <c:v>45917</c:v>
                </c:pt>
                <c:pt idx="995">
                  <c:v>45918</c:v>
                </c:pt>
                <c:pt idx="996">
                  <c:v>45919</c:v>
                </c:pt>
                <c:pt idx="997">
                  <c:v>45922</c:v>
                </c:pt>
                <c:pt idx="998">
                  <c:v>45923</c:v>
                </c:pt>
                <c:pt idx="999">
                  <c:v>45924</c:v>
                </c:pt>
                <c:pt idx="1000">
                  <c:v>45925</c:v>
                </c:pt>
                <c:pt idx="1001">
                  <c:v>45926</c:v>
                </c:pt>
                <c:pt idx="1002">
                  <c:v>45929</c:v>
                </c:pt>
                <c:pt idx="1003">
                  <c:v>45930</c:v>
                </c:pt>
                <c:pt idx="1004">
                  <c:v>45931</c:v>
                </c:pt>
                <c:pt idx="1005">
                  <c:v>45933</c:v>
                </c:pt>
                <c:pt idx="1006">
                  <c:v>45936</c:v>
                </c:pt>
                <c:pt idx="1007">
                  <c:v>45937</c:v>
                </c:pt>
                <c:pt idx="1008">
                  <c:v>45938</c:v>
                </c:pt>
                <c:pt idx="1009">
                  <c:v>45939</c:v>
                </c:pt>
                <c:pt idx="1010">
                  <c:v>45940</c:v>
                </c:pt>
                <c:pt idx="1011">
                  <c:v>45943</c:v>
                </c:pt>
                <c:pt idx="1012">
                  <c:v>45944</c:v>
                </c:pt>
                <c:pt idx="1013">
                  <c:v>45945</c:v>
                </c:pt>
                <c:pt idx="1014">
                  <c:v>45946</c:v>
                </c:pt>
                <c:pt idx="1015">
                  <c:v>45947</c:v>
                </c:pt>
                <c:pt idx="1016">
                  <c:v>45950</c:v>
                </c:pt>
                <c:pt idx="1017">
                  <c:v>45951</c:v>
                </c:pt>
                <c:pt idx="1018">
                  <c:v>45953</c:v>
                </c:pt>
                <c:pt idx="1019">
                  <c:v>45954</c:v>
                </c:pt>
                <c:pt idx="1020">
                  <c:v>45957</c:v>
                </c:pt>
                <c:pt idx="1021">
                  <c:v>45958</c:v>
                </c:pt>
                <c:pt idx="1022">
                  <c:v>45959</c:v>
                </c:pt>
                <c:pt idx="1023">
                  <c:v>45960</c:v>
                </c:pt>
                <c:pt idx="1024">
                  <c:v>45961</c:v>
                </c:pt>
                <c:pt idx="1025">
                  <c:v>45964</c:v>
                </c:pt>
                <c:pt idx="1026">
                  <c:v>45965</c:v>
                </c:pt>
                <c:pt idx="1027">
                  <c:v>45967</c:v>
                </c:pt>
                <c:pt idx="1028">
                  <c:v>45968</c:v>
                </c:pt>
                <c:pt idx="1029">
                  <c:v>45971</c:v>
                </c:pt>
                <c:pt idx="1030">
                  <c:v>45972</c:v>
                </c:pt>
                <c:pt idx="1031">
                  <c:v>45973</c:v>
                </c:pt>
                <c:pt idx="1032">
                  <c:v>45974</c:v>
                </c:pt>
                <c:pt idx="1033">
                  <c:v>45975</c:v>
                </c:pt>
                <c:pt idx="1034">
                  <c:v>45978</c:v>
                </c:pt>
                <c:pt idx="1035">
                  <c:v>45979</c:v>
                </c:pt>
                <c:pt idx="1036">
                  <c:v>45980</c:v>
                </c:pt>
                <c:pt idx="1037">
                  <c:v>45981</c:v>
                </c:pt>
                <c:pt idx="1038">
                  <c:v>45982</c:v>
                </c:pt>
                <c:pt idx="1039">
                  <c:v>45985</c:v>
                </c:pt>
                <c:pt idx="1040">
                  <c:v>45986</c:v>
                </c:pt>
                <c:pt idx="1041">
                  <c:v>45987</c:v>
                </c:pt>
                <c:pt idx="1042">
                  <c:v>45988</c:v>
                </c:pt>
                <c:pt idx="1043">
                  <c:v>45989</c:v>
                </c:pt>
                <c:pt idx="1044">
                  <c:v>45992</c:v>
                </c:pt>
                <c:pt idx="1045">
                  <c:v>45993</c:v>
                </c:pt>
                <c:pt idx="1046">
                  <c:v>45994</c:v>
                </c:pt>
                <c:pt idx="1047">
                  <c:v>45995</c:v>
                </c:pt>
                <c:pt idx="1048">
                  <c:v>45996</c:v>
                </c:pt>
                <c:pt idx="1049">
                  <c:v>45999</c:v>
                </c:pt>
                <c:pt idx="1050">
                  <c:v>46000</c:v>
                </c:pt>
                <c:pt idx="1051">
                  <c:v>46001</c:v>
                </c:pt>
                <c:pt idx="1052">
                  <c:v>46002</c:v>
                </c:pt>
                <c:pt idx="1053">
                  <c:v>46003</c:v>
                </c:pt>
                <c:pt idx="1054">
                  <c:v>46006</c:v>
                </c:pt>
                <c:pt idx="1055">
                  <c:v>46007</c:v>
                </c:pt>
                <c:pt idx="1056">
                  <c:v>46008</c:v>
                </c:pt>
                <c:pt idx="1057">
                  <c:v>46009</c:v>
                </c:pt>
                <c:pt idx="1058">
                  <c:v>46010</c:v>
                </c:pt>
                <c:pt idx="1059">
                  <c:v>46013</c:v>
                </c:pt>
                <c:pt idx="1060">
                  <c:v>46014</c:v>
                </c:pt>
                <c:pt idx="1061">
                  <c:v>46015</c:v>
                </c:pt>
                <c:pt idx="1062">
                  <c:v>46017</c:v>
                </c:pt>
                <c:pt idx="1063">
                  <c:v>46020</c:v>
                </c:pt>
                <c:pt idx="1064">
                  <c:v>46021</c:v>
                </c:pt>
                <c:pt idx="1065">
                  <c:v>46022</c:v>
                </c:pt>
                <c:pt idx="1066">
                  <c:v>46023</c:v>
                </c:pt>
                <c:pt idx="1067">
                  <c:v>46024</c:v>
                </c:pt>
                <c:pt idx="1068">
                  <c:v>46027</c:v>
                </c:pt>
                <c:pt idx="1069">
                  <c:v>46028</c:v>
                </c:pt>
                <c:pt idx="1070">
                  <c:v>46029</c:v>
                </c:pt>
                <c:pt idx="1071">
                  <c:v>46030</c:v>
                </c:pt>
                <c:pt idx="1072">
                  <c:v>46031</c:v>
                </c:pt>
                <c:pt idx="1073">
                  <c:v>46034</c:v>
                </c:pt>
                <c:pt idx="1074">
                  <c:v>46035</c:v>
                </c:pt>
                <c:pt idx="1075">
                  <c:v>46036</c:v>
                </c:pt>
                <c:pt idx="1076">
                  <c:v>46038</c:v>
                </c:pt>
                <c:pt idx="1077">
                  <c:v>46041</c:v>
                </c:pt>
                <c:pt idx="1078">
                  <c:v>46042</c:v>
                </c:pt>
                <c:pt idx="1079">
                  <c:v>46043</c:v>
                </c:pt>
                <c:pt idx="1080">
                  <c:v>46044</c:v>
                </c:pt>
                <c:pt idx="1081">
                  <c:v>46045</c:v>
                </c:pt>
                <c:pt idx="1082">
                  <c:v>46049</c:v>
                </c:pt>
                <c:pt idx="1083">
                  <c:v>46050</c:v>
                </c:pt>
                <c:pt idx="1084">
                  <c:v>46051</c:v>
                </c:pt>
                <c:pt idx="1085">
                  <c:v>46052</c:v>
                </c:pt>
                <c:pt idx="1086">
                  <c:v>46055</c:v>
                </c:pt>
                <c:pt idx="1087">
                  <c:v>46056</c:v>
                </c:pt>
                <c:pt idx="1088">
                  <c:v>46057</c:v>
                </c:pt>
                <c:pt idx="1089">
                  <c:v>46058</c:v>
                </c:pt>
                <c:pt idx="1090">
                  <c:v>46059</c:v>
                </c:pt>
                <c:pt idx="1091">
                  <c:v>46062</c:v>
                </c:pt>
                <c:pt idx="1092">
                  <c:v>46063</c:v>
                </c:pt>
                <c:pt idx="1093">
                  <c:v>46064</c:v>
                </c:pt>
                <c:pt idx="1094">
                  <c:v>46065</c:v>
                </c:pt>
                <c:pt idx="1095">
                  <c:v>46066</c:v>
                </c:pt>
                <c:pt idx="1096">
                  <c:v>46069</c:v>
                </c:pt>
                <c:pt idx="1097">
                  <c:v>46070</c:v>
                </c:pt>
                <c:pt idx="1098">
                  <c:v>46071</c:v>
                </c:pt>
                <c:pt idx="1099">
                  <c:v>46072</c:v>
                </c:pt>
                <c:pt idx="1100">
                  <c:v>46073</c:v>
                </c:pt>
                <c:pt idx="1101">
                  <c:v>46076</c:v>
                </c:pt>
                <c:pt idx="1102">
                  <c:v>46077</c:v>
                </c:pt>
                <c:pt idx="1103">
                  <c:v>46078</c:v>
                </c:pt>
                <c:pt idx="1104">
                  <c:v>46079</c:v>
                </c:pt>
                <c:pt idx="1105">
                  <c:v>46080</c:v>
                </c:pt>
                <c:pt idx="1106">
                  <c:v>46083</c:v>
                </c:pt>
                <c:pt idx="1107">
                  <c:v>46085</c:v>
                </c:pt>
                <c:pt idx="1108">
                  <c:v>46086</c:v>
                </c:pt>
                <c:pt idx="1109">
                  <c:v>46087</c:v>
                </c:pt>
                <c:pt idx="1110">
                  <c:v>46090</c:v>
                </c:pt>
                <c:pt idx="1111">
                  <c:v>46091</c:v>
                </c:pt>
                <c:pt idx="1112">
                  <c:v>46092</c:v>
                </c:pt>
                <c:pt idx="1113">
                  <c:v>46093</c:v>
                </c:pt>
                <c:pt idx="1114">
                  <c:v>46094</c:v>
                </c:pt>
                <c:pt idx="1115">
                  <c:v>46097</c:v>
                </c:pt>
                <c:pt idx="1116">
                  <c:v>46098</c:v>
                </c:pt>
                <c:pt idx="1117">
                  <c:v>46099</c:v>
                </c:pt>
                <c:pt idx="1118">
                  <c:v>46100</c:v>
                </c:pt>
                <c:pt idx="1119">
                  <c:v>46101</c:v>
                </c:pt>
                <c:pt idx="1120">
                  <c:v>46104</c:v>
                </c:pt>
                <c:pt idx="1121">
                  <c:v>46105</c:v>
                </c:pt>
                <c:pt idx="1122">
                  <c:v>46106</c:v>
                </c:pt>
                <c:pt idx="1123">
                  <c:v>46108</c:v>
                </c:pt>
                <c:pt idx="1124">
                  <c:v>46111</c:v>
                </c:pt>
                <c:pt idx="1125">
                  <c:v>46113</c:v>
                </c:pt>
                <c:pt idx="1126">
                  <c:v>46114</c:v>
                </c:pt>
                <c:pt idx="1127">
                  <c:v>46118</c:v>
                </c:pt>
                <c:pt idx="1128">
                  <c:v>46119</c:v>
                </c:pt>
                <c:pt idx="1129">
                  <c:v>46120</c:v>
                </c:pt>
                <c:pt idx="1130">
                  <c:v>46121</c:v>
                </c:pt>
                <c:pt idx="1131">
                  <c:v>46122</c:v>
                </c:pt>
                <c:pt idx="1132">
                  <c:v>46125</c:v>
                </c:pt>
                <c:pt idx="1133">
                  <c:v>46127</c:v>
                </c:pt>
                <c:pt idx="1134">
                  <c:v>46128</c:v>
                </c:pt>
                <c:pt idx="1135">
                  <c:v>46129</c:v>
                </c:pt>
                <c:pt idx="1136">
                  <c:v>46132</c:v>
                </c:pt>
                <c:pt idx="1137">
                  <c:v>46133</c:v>
                </c:pt>
                <c:pt idx="1138">
                  <c:v>46134</c:v>
                </c:pt>
                <c:pt idx="1139">
                  <c:v>46135</c:v>
                </c:pt>
                <c:pt idx="1140">
                  <c:v>46136</c:v>
                </c:pt>
                <c:pt idx="1141">
                  <c:v>46139</c:v>
                </c:pt>
                <c:pt idx="1142">
                  <c:v>46140</c:v>
                </c:pt>
                <c:pt idx="1143">
                  <c:v>46141</c:v>
                </c:pt>
                <c:pt idx="1144">
                  <c:v>46142</c:v>
                </c:pt>
                <c:pt idx="1145">
                  <c:v>46146</c:v>
                </c:pt>
                <c:pt idx="1146">
                  <c:v>46147</c:v>
                </c:pt>
                <c:pt idx="1147">
                  <c:v>46148</c:v>
                </c:pt>
                <c:pt idx="1148">
                  <c:v>46149</c:v>
                </c:pt>
                <c:pt idx="1149">
                  <c:v>46150</c:v>
                </c:pt>
                <c:pt idx="1150">
                  <c:v>46153</c:v>
                </c:pt>
                <c:pt idx="1151">
                  <c:v>46154</c:v>
                </c:pt>
                <c:pt idx="1152">
                  <c:v>46155</c:v>
                </c:pt>
                <c:pt idx="1153">
                  <c:v>46156</c:v>
                </c:pt>
                <c:pt idx="1154">
                  <c:v>46157</c:v>
                </c:pt>
                <c:pt idx="1155">
                  <c:v>46160</c:v>
                </c:pt>
                <c:pt idx="1156">
                  <c:v>46161</c:v>
                </c:pt>
                <c:pt idx="1157">
                  <c:v>46162</c:v>
                </c:pt>
                <c:pt idx="1158">
                  <c:v>46163</c:v>
                </c:pt>
                <c:pt idx="1159">
                  <c:v>46164</c:v>
                </c:pt>
                <c:pt idx="1160">
                  <c:v>46167</c:v>
                </c:pt>
                <c:pt idx="1161">
                  <c:v>46168</c:v>
                </c:pt>
                <c:pt idx="1162">
                  <c:v>46169</c:v>
                </c:pt>
                <c:pt idx="1163">
                  <c:v>46170</c:v>
                </c:pt>
                <c:pt idx="1164">
                  <c:v>46171</c:v>
                </c:pt>
                <c:pt idx="1165">
                  <c:v>46174</c:v>
                </c:pt>
                <c:pt idx="1166">
                  <c:v>46175</c:v>
                </c:pt>
                <c:pt idx="1167">
                  <c:v>46176</c:v>
                </c:pt>
                <c:pt idx="1168">
                  <c:v>46177</c:v>
                </c:pt>
                <c:pt idx="1169">
                  <c:v>46178</c:v>
                </c:pt>
                <c:pt idx="1170">
                  <c:v>46181</c:v>
                </c:pt>
                <c:pt idx="1171">
                  <c:v>46182</c:v>
                </c:pt>
                <c:pt idx="1172">
                  <c:v>46183</c:v>
                </c:pt>
                <c:pt idx="1173">
                  <c:v>46184</c:v>
                </c:pt>
                <c:pt idx="1174">
                  <c:v>46185</c:v>
                </c:pt>
                <c:pt idx="1175">
                  <c:v>46188</c:v>
                </c:pt>
                <c:pt idx="1176">
                  <c:v>46189</c:v>
                </c:pt>
                <c:pt idx="1177">
                  <c:v>46190</c:v>
                </c:pt>
                <c:pt idx="1178">
                  <c:v>46191</c:v>
                </c:pt>
                <c:pt idx="1179">
                  <c:v>46192</c:v>
                </c:pt>
                <c:pt idx="1180">
                  <c:v>46195</c:v>
                </c:pt>
                <c:pt idx="1181">
                  <c:v>46196</c:v>
                </c:pt>
                <c:pt idx="1182">
                  <c:v>46197</c:v>
                </c:pt>
                <c:pt idx="1183">
                  <c:v>46198</c:v>
                </c:pt>
                <c:pt idx="1184">
                  <c:v>46199</c:v>
                </c:pt>
                <c:pt idx="1185">
                  <c:v>46202</c:v>
                </c:pt>
                <c:pt idx="1186">
                  <c:v>46203</c:v>
                </c:pt>
                <c:pt idx="1187">
                  <c:v>46204</c:v>
                </c:pt>
                <c:pt idx="1188">
                  <c:v>46205</c:v>
                </c:pt>
                <c:pt idx="1189">
                  <c:v>46206</c:v>
                </c:pt>
                <c:pt idx="1190">
                  <c:v>46209</c:v>
                </c:pt>
                <c:pt idx="1191">
                  <c:v>46210</c:v>
                </c:pt>
                <c:pt idx="1192">
                  <c:v>46211</c:v>
                </c:pt>
                <c:pt idx="1193">
                  <c:v>46212</c:v>
                </c:pt>
                <c:pt idx="1194">
                  <c:v>46213</c:v>
                </c:pt>
                <c:pt idx="1195">
                  <c:v>46216</c:v>
                </c:pt>
                <c:pt idx="1196">
                  <c:v>46217</c:v>
                </c:pt>
                <c:pt idx="1197">
                  <c:v>46218</c:v>
                </c:pt>
                <c:pt idx="1198">
                  <c:v>46219</c:v>
                </c:pt>
                <c:pt idx="1199">
                  <c:v>46220</c:v>
                </c:pt>
                <c:pt idx="1200">
                  <c:v>46223</c:v>
                </c:pt>
                <c:pt idx="1201">
                  <c:v>46224</c:v>
                </c:pt>
                <c:pt idx="1202">
                  <c:v>46225</c:v>
                </c:pt>
                <c:pt idx="1203">
                  <c:v>46226</c:v>
                </c:pt>
                <c:pt idx="1204">
                  <c:v>46227</c:v>
                </c:pt>
                <c:pt idx="1205">
                  <c:v>46230</c:v>
                </c:pt>
                <c:pt idx="1206">
                  <c:v>46231</c:v>
                </c:pt>
                <c:pt idx="1207">
                  <c:v>46232</c:v>
                </c:pt>
                <c:pt idx="1208">
                  <c:v>46233</c:v>
                </c:pt>
                <c:pt idx="1209">
                  <c:v>46234</c:v>
                </c:pt>
                <c:pt idx="1210">
                  <c:v>46237</c:v>
                </c:pt>
                <c:pt idx="1211">
                  <c:v>46238</c:v>
                </c:pt>
                <c:pt idx="1212">
                  <c:v>46239</c:v>
                </c:pt>
                <c:pt idx="1213">
                  <c:v>46240</c:v>
                </c:pt>
                <c:pt idx="1214">
                  <c:v>46241</c:v>
                </c:pt>
                <c:pt idx="1215">
                  <c:v>46244</c:v>
                </c:pt>
                <c:pt idx="1216">
                  <c:v>46245</c:v>
                </c:pt>
                <c:pt idx="1217">
                  <c:v>46246</c:v>
                </c:pt>
                <c:pt idx="1218">
                  <c:v>46247</c:v>
                </c:pt>
                <c:pt idx="1219">
                  <c:v>46248</c:v>
                </c:pt>
                <c:pt idx="1220">
                  <c:v>46251</c:v>
                </c:pt>
                <c:pt idx="1221">
                  <c:v>46252</c:v>
                </c:pt>
                <c:pt idx="1222">
                  <c:v>46253</c:v>
                </c:pt>
                <c:pt idx="1223">
                  <c:v>46254</c:v>
                </c:pt>
                <c:pt idx="1224">
                  <c:v>46255</c:v>
                </c:pt>
                <c:pt idx="1225">
                  <c:v>46258</c:v>
                </c:pt>
                <c:pt idx="1226">
                  <c:v>46259</c:v>
                </c:pt>
                <c:pt idx="1227">
                  <c:v>46260</c:v>
                </c:pt>
                <c:pt idx="1228">
                  <c:v>46261</c:v>
                </c:pt>
                <c:pt idx="1229">
                  <c:v>46262</c:v>
                </c:pt>
                <c:pt idx="1230">
                  <c:v>46265</c:v>
                </c:pt>
                <c:pt idx="1231">
                  <c:v>46266</c:v>
                </c:pt>
                <c:pt idx="1232">
                  <c:v>46267</c:v>
                </c:pt>
                <c:pt idx="1233">
                  <c:v>46268</c:v>
                </c:pt>
                <c:pt idx="1234">
                  <c:v>46269</c:v>
                </c:pt>
              </c:numCache>
            </c:numRef>
          </c:cat>
          <c:val>
            <c:numRef>
              <c:f>'OPP Data'!$Q$4:$Q$1238</c:f>
              <c:numCache>
                <c:formatCode>General</c:formatCode>
                <c:ptCount val="1235"/>
                <c:pt idx="0">
                  <c:v>5762.70751953125</c:v>
                </c:pt>
                <c:pt idx="1">
                  <c:v>5746.42041015625</c:v>
                </c:pt>
                <c:pt idx="2">
                  <c:v>5784.267578125</c:v>
                </c:pt>
                <c:pt idx="3">
                  <c:v>5809.46875</c:v>
                </c:pt>
                <c:pt idx="4">
                  <c:v>5792.1552734375</c:v>
                </c:pt>
                <c:pt idx="5">
                  <c:v>5854.0830078125</c:v>
                </c:pt>
                <c:pt idx="6">
                  <c:v>5844.65625</c:v>
                </c:pt>
                <c:pt idx="7">
                  <c:v>5787.7216796875</c:v>
                </c:pt>
                <c:pt idx="8">
                  <c:v>5775.681640625</c:v>
                </c:pt>
                <c:pt idx="9">
                  <c:v>5800.36865234375</c:v>
                </c:pt>
                <c:pt idx="10">
                  <c:v>5773.30078125</c:v>
                </c:pt>
                <c:pt idx="11">
                  <c:v>5790.47509765625</c:v>
                </c:pt>
                <c:pt idx="12">
                  <c:v>5791.31494140625</c:v>
                </c:pt>
                <c:pt idx="13">
                  <c:v>5786.3681640625</c:v>
                </c:pt>
                <c:pt idx="14">
                  <c:v>5783.84814453125</c:v>
                </c:pt>
                <c:pt idx="15">
                  <c:v>5810.822265625</c:v>
                </c:pt>
                <c:pt idx="16">
                  <c:v>5790.33447265625</c:v>
                </c:pt>
                <c:pt idx="17">
                  <c:v>5740.8203125</c:v>
                </c:pt>
                <c:pt idx="18">
                  <c:v>5765.46044921875</c:v>
                </c:pt>
                <c:pt idx="19">
                  <c:v>5744.46044921875</c:v>
                </c:pt>
                <c:pt idx="20">
                  <c:v>5742.8271484375</c:v>
                </c:pt>
                <c:pt idx="21">
                  <c:v>5720.8466796875</c:v>
                </c:pt>
                <c:pt idx="22">
                  <c:v>5793.4619140625</c:v>
                </c:pt>
                <c:pt idx="23">
                  <c:v>5751.833984375</c:v>
                </c:pt>
                <c:pt idx="24">
                  <c:v>5746.18701171875</c:v>
                </c:pt>
                <c:pt idx="25">
                  <c:v>5734.7998046875</c:v>
                </c:pt>
                <c:pt idx="26">
                  <c:v>5833.50244140625</c:v>
                </c:pt>
                <c:pt idx="27">
                  <c:v>5906.91064453125</c:v>
                </c:pt>
                <c:pt idx="28">
                  <c:v>5908.078125</c:v>
                </c:pt>
                <c:pt idx="29">
                  <c:v>6014.71337890625</c:v>
                </c:pt>
                <c:pt idx="30">
                  <c:v>6001.505859375</c:v>
                </c:pt>
                <c:pt idx="31">
                  <c:v>5924.92431640625</c:v>
                </c:pt>
                <c:pt idx="32">
                  <c:v>5754.30712890625</c:v>
                </c:pt>
                <c:pt idx="33">
                  <c:v>5742.26708984375</c:v>
                </c:pt>
                <c:pt idx="34">
                  <c:v>5878.72314453125</c:v>
                </c:pt>
                <c:pt idx="35">
                  <c:v>5957.6376953125</c:v>
                </c:pt>
                <c:pt idx="36">
                  <c:v>5888.896484375</c:v>
                </c:pt>
                <c:pt idx="37">
                  <c:v>5851.4228515625</c:v>
                </c:pt>
                <c:pt idx="38">
                  <c:v>5889.923828125</c:v>
                </c:pt>
                <c:pt idx="39">
                  <c:v>5876.34326171875</c:v>
                </c:pt>
                <c:pt idx="40">
                  <c:v>5913.49072265625</c:v>
                </c:pt>
                <c:pt idx="41">
                  <c:v>6030.39306640625</c:v>
                </c:pt>
                <c:pt idx="42">
                  <c:v>5986.8525390625</c:v>
                </c:pt>
                <c:pt idx="43">
                  <c:v>5721.126953125</c:v>
                </c:pt>
                <c:pt idx="44">
                  <c:v>5626.625</c:v>
                </c:pt>
                <c:pt idx="45">
                  <c:v>5696.6259765625</c:v>
                </c:pt>
                <c:pt idx="46">
                  <c:v>5769.42724609375</c:v>
                </c:pt>
                <c:pt idx="47">
                  <c:v>5785.52783203125</c:v>
                </c:pt>
                <c:pt idx="48">
                  <c:v>5894.9638671875</c:v>
                </c:pt>
                <c:pt idx="49">
                  <c:v>5875.5966796875</c:v>
                </c:pt>
                <c:pt idx="50">
                  <c:v>5878.1171875</c:v>
                </c:pt>
                <c:pt idx="51">
                  <c:v>5949.09814453125</c:v>
                </c:pt>
                <c:pt idx="52">
                  <c:v>5961.931640625</c:v>
                </c:pt>
                <c:pt idx="53">
                  <c:v>5885.53662109375</c:v>
                </c:pt>
                <c:pt idx="54">
                  <c:v>5878.48974609375</c:v>
                </c:pt>
                <c:pt idx="55">
                  <c:v>5711.7470703125</c:v>
                </c:pt>
                <c:pt idx="56">
                  <c:v>5708.853515625</c:v>
                </c:pt>
                <c:pt idx="57">
                  <c:v>5836.95556640625</c:v>
                </c:pt>
                <c:pt idx="58">
                  <c:v>5678.1923828125</c:v>
                </c:pt>
                <c:pt idx="59">
                  <c:v>5695.3193359375</c:v>
                </c:pt>
                <c:pt idx="60">
                  <c:v>5686.359375</c:v>
                </c:pt>
                <c:pt idx="61">
                  <c:v>5675.48583984375</c:v>
                </c:pt>
                <c:pt idx="62">
                  <c:v>5643.00537109375</c:v>
                </c:pt>
                <c:pt idx="63">
                  <c:v>5665.591796875</c:v>
                </c:pt>
                <c:pt idx="64">
                  <c:v>5634.83837890625</c:v>
                </c:pt>
                <c:pt idx="65">
                  <c:v>5670.07275390625</c:v>
                </c:pt>
                <c:pt idx="66">
                  <c:v>5639.50537109375</c:v>
                </c:pt>
                <c:pt idx="67">
                  <c:v>5647.3916015625</c:v>
                </c:pt>
                <c:pt idx="68">
                  <c:v>5629.28515625</c:v>
                </c:pt>
                <c:pt idx="69">
                  <c:v>5578.4169921875</c:v>
                </c:pt>
                <c:pt idx="70">
                  <c:v>5186.408203125</c:v>
                </c:pt>
                <c:pt idx="71">
                  <c:v>5258.4169921875</c:v>
                </c:pt>
                <c:pt idx="72">
                  <c:v>5259.2568359375</c:v>
                </c:pt>
                <c:pt idx="73">
                  <c:v>5399.77294921875</c:v>
                </c:pt>
                <c:pt idx="74">
                  <c:v>5378.6328125</c:v>
                </c:pt>
                <c:pt idx="75">
                  <c:v>5434.400390625</c:v>
                </c:pt>
                <c:pt idx="76">
                  <c:v>5535.482421875</c:v>
                </c:pt>
                <c:pt idx="77">
                  <c:v>5606.88427734375</c:v>
                </c:pt>
                <c:pt idx="78">
                  <c:v>5614.724609375</c:v>
                </c:pt>
                <c:pt idx="79">
                  <c:v>5710.95361328125</c:v>
                </c:pt>
                <c:pt idx="80">
                  <c:v>5711.46630859375</c:v>
                </c:pt>
                <c:pt idx="81">
                  <c:v>5614.0712890625</c:v>
                </c:pt>
                <c:pt idx="82">
                  <c:v>5527.92236328125</c:v>
                </c:pt>
                <c:pt idx="83">
                  <c:v>5557.13671875</c:v>
                </c:pt>
                <c:pt idx="84">
                  <c:v>5379.84619140625</c:v>
                </c:pt>
                <c:pt idx="85">
                  <c:v>5404.06689453125</c:v>
                </c:pt>
                <c:pt idx="86">
                  <c:v>5451.8544921875</c:v>
                </c:pt>
                <c:pt idx="87">
                  <c:v>5444.90087890625</c:v>
                </c:pt>
                <c:pt idx="88">
                  <c:v>5394.7333984375</c:v>
                </c:pt>
                <c:pt idx="89">
                  <c:v>5419.1865234375</c:v>
                </c:pt>
                <c:pt idx="90">
                  <c:v>5490.35498046875</c:v>
                </c:pt>
                <c:pt idx="91">
                  <c:v>5320.01806640625</c:v>
                </c:pt>
                <c:pt idx="92">
                  <c:v>5316.70556640625</c:v>
                </c:pt>
                <c:pt idx="93">
                  <c:v>5319.1318359375</c:v>
                </c:pt>
                <c:pt idx="94">
                  <c:v>5722.47998046875</c:v>
                </c:pt>
                <c:pt idx="95">
                  <c:v>5477.0087890625</c:v>
                </c:pt>
                <c:pt idx="96">
                  <c:v>5409.43408203125</c:v>
                </c:pt>
                <c:pt idx="97">
                  <c:v>5491.98876953125</c:v>
                </c:pt>
                <c:pt idx="98">
                  <c:v>5469.9150390625</c:v>
                </c:pt>
                <c:pt idx="99">
                  <c:v>5562.45654296875</c:v>
                </c:pt>
                <c:pt idx="100">
                  <c:v>5544.62939453125</c:v>
                </c:pt>
                <c:pt idx="101">
                  <c:v>5456.94091796875</c:v>
                </c:pt>
                <c:pt idx="102">
                  <c:v>5405.93408203125</c:v>
                </c:pt>
                <c:pt idx="103">
                  <c:v>5324.91845703125</c:v>
                </c:pt>
                <c:pt idx="104">
                  <c:v>5299.7646484375</c:v>
                </c:pt>
                <c:pt idx="105">
                  <c:v>5256.87744140625</c:v>
                </c:pt>
                <c:pt idx="106">
                  <c:v>5296.77783203125</c:v>
                </c:pt>
                <c:pt idx="107">
                  <c:v>5276.4775390625</c:v>
                </c:pt>
                <c:pt idx="108">
                  <c:v>5223.603515625</c:v>
                </c:pt>
                <c:pt idx="109">
                  <c:v>5350.958984375</c:v>
                </c:pt>
                <c:pt idx="110">
                  <c:v>5327.01806640625</c:v>
                </c:pt>
                <c:pt idx="111">
                  <c:v>5238.0703125</c:v>
                </c:pt>
                <c:pt idx="112">
                  <c:v>5195.0419921875</c:v>
                </c:pt>
                <c:pt idx="113">
                  <c:v>5200.7822265625</c:v>
                </c:pt>
                <c:pt idx="114">
                  <c:v>5191.869140625</c:v>
                </c:pt>
                <c:pt idx="115">
                  <c:v>5187.80859375</c:v>
                </c:pt>
                <c:pt idx="116">
                  <c:v>5164.98876953125</c:v>
                </c:pt>
                <c:pt idx="117">
                  <c:v>4964.41015625</c:v>
                </c:pt>
                <c:pt idx="118">
                  <c:v>4855.53564453125</c:v>
                </c:pt>
                <c:pt idx="119">
                  <c:v>4937.90380859375</c:v>
                </c:pt>
                <c:pt idx="120">
                  <c:v>4872.615234375</c:v>
                </c:pt>
                <c:pt idx="121">
                  <c:v>4979.6708984375</c:v>
                </c:pt>
                <c:pt idx="122">
                  <c:v>4946.91064453125</c:v>
                </c:pt>
                <c:pt idx="123">
                  <c:v>4842.51513671875</c:v>
                </c:pt>
                <c:pt idx="124">
                  <c:v>4767.98681640625</c:v>
                </c:pt>
                <c:pt idx="125">
                  <c:v>4894.26953125</c:v>
                </c:pt>
                <c:pt idx="126">
                  <c:v>5016.49267578125</c:v>
                </c:pt>
                <c:pt idx="127">
                  <c:v>5051.4931640625</c:v>
                </c:pt>
                <c:pt idx="128">
                  <c:v>5126.1142578125</c:v>
                </c:pt>
                <c:pt idx="129">
                  <c:v>5078.83984375</c:v>
                </c:pt>
                <c:pt idx="130">
                  <c:v>5145.0146484375</c:v>
                </c:pt>
                <c:pt idx="131">
                  <c:v>5161.5810546875</c:v>
                </c:pt>
                <c:pt idx="132">
                  <c:v>5047.33935546875</c:v>
                </c:pt>
                <c:pt idx="133">
                  <c:v>4983.451171875</c:v>
                </c:pt>
                <c:pt idx="134">
                  <c:v>5021.81201171875</c:v>
                </c:pt>
                <c:pt idx="135">
                  <c:v>5014.29833984375</c:v>
                </c:pt>
                <c:pt idx="136">
                  <c:v>4919.37646484375</c:v>
                </c:pt>
                <c:pt idx="137">
                  <c:v>4837.1015625</c:v>
                </c:pt>
                <c:pt idx="138">
                  <c:v>4834.44140625</c:v>
                </c:pt>
                <c:pt idx="139">
                  <c:v>4810.68798828125</c:v>
                </c:pt>
                <c:pt idx="140">
                  <c:v>4730.18603515625</c:v>
                </c:pt>
                <c:pt idx="141">
                  <c:v>5020.87890625</c:v>
                </c:pt>
                <c:pt idx="142">
                  <c:v>4979.62451171875</c:v>
                </c:pt>
                <c:pt idx="143">
                  <c:v>4960.35009765625</c:v>
                </c:pt>
                <c:pt idx="144">
                  <c:v>4981.0244140625</c:v>
                </c:pt>
                <c:pt idx="145">
                  <c:v>4995.58447265625</c:v>
                </c:pt>
                <c:pt idx="146">
                  <c:v>5029.69921875</c:v>
                </c:pt>
                <c:pt idx="147">
                  <c:v>4976.9638671875</c:v>
                </c:pt>
                <c:pt idx="148">
                  <c:v>4965.95068359375</c:v>
                </c:pt>
                <c:pt idx="149">
                  <c:v>4918.3037109375</c:v>
                </c:pt>
                <c:pt idx="150">
                  <c:v>4994.51123046875</c:v>
                </c:pt>
                <c:pt idx="151">
                  <c:v>4878.916015625</c:v>
                </c:pt>
                <c:pt idx="152">
                  <c:v>4913.26318359375</c:v>
                </c:pt>
                <c:pt idx="153">
                  <c:v>4916.39013671875</c:v>
                </c:pt>
                <c:pt idx="154">
                  <c:v>4863.935546875</c:v>
                </c:pt>
                <c:pt idx="155">
                  <c:v>4898.703125</c:v>
                </c:pt>
                <c:pt idx="156">
                  <c:v>4942.103515625</c:v>
                </c:pt>
                <c:pt idx="157">
                  <c:v>4851.00830078125</c:v>
                </c:pt>
                <c:pt idx="158">
                  <c:v>4949.8505859375</c:v>
                </c:pt>
                <c:pt idx="159">
                  <c:v>4936.73681640625</c:v>
                </c:pt>
                <c:pt idx="160">
                  <c:v>4838.12841796875</c:v>
                </c:pt>
                <c:pt idx="161">
                  <c:v>4768.68701171875</c:v>
                </c:pt>
                <c:pt idx="162">
                  <c:v>4819.4609375</c:v>
                </c:pt>
                <c:pt idx="163">
                  <c:v>4737.60546875</c:v>
                </c:pt>
                <c:pt idx="164">
                  <c:v>4798.2734375</c:v>
                </c:pt>
                <c:pt idx="165">
                  <c:v>4772.8408203125</c:v>
                </c:pt>
                <c:pt idx="166">
                  <c:v>4807.88818359375</c:v>
                </c:pt>
                <c:pt idx="167">
                  <c:v>4817.40771484375</c:v>
                </c:pt>
                <c:pt idx="168">
                  <c:v>4833.6943359375</c:v>
                </c:pt>
                <c:pt idx="169">
                  <c:v>4925.63037109375</c:v>
                </c:pt>
                <c:pt idx="170">
                  <c:v>4980.04443359375</c:v>
                </c:pt>
                <c:pt idx="171">
                  <c:v>4960.30419921875</c:v>
                </c:pt>
                <c:pt idx="172">
                  <c:v>4902.62255859375</c:v>
                </c:pt>
                <c:pt idx="173">
                  <c:v>4890.81591796875</c:v>
                </c:pt>
                <c:pt idx="174">
                  <c:v>4951.25</c:v>
                </c:pt>
                <c:pt idx="175">
                  <c:v>4946.02392578125</c:v>
                </c:pt>
                <c:pt idx="176">
                  <c:v>4943.45751953125</c:v>
                </c:pt>
                <c:pt idx="177">
                  <c:v>4899.82373046875</c:v>
                </c:pt>
                <c:pt idx="178">
                  <c:v>4817.22119140625</c:v>
                </c:pt>
                <c:pt idx="179">
                  <c:v>4984.19775390625</c:v>
                </c:pt>
                <c:pt idx="180">
                  <c:v>4873.12890625</c:v>
                </c:pt>
                <c:pt idx="181">
                  <c:v>4921.5234375</c:v>
                </c:pt>
                <c:pt idx="182">
                  <c:v>4877.93603515625</c:v>
                </c:pt>
                <c:pt idx="183">
                  <c:v>4879.9423828125</c:v>
                </c:pt>
                <c:pt idx="184">
                  <c:v>4918.5830078125</c:v>
                </c:pt>
                <c:pt idx="185">
                  <c:v>4849.095703125</c:v>
                </c:pt>
                <c:pt idx="186">
                  <c:v>4863.935546875</c:v>
                </c:pt>
                <c:pt idx="187">
                  <c:v>4895.66943359375</c:v>
                </c:pt>
                <c:pt idx="188">
                  <c:v>4913.123046875</c:v>
                </c:pt>
                <c:pt idx="189">
                  <c:v>4811.48046875</c:v>
                </c:pt>
                <c:pt idx="190">
                  <c:v>4848.62890625</c:v>
                </c:pt>
                <c:pt idx="191">
                  <c:v>4855.7685546875</c:v>
                </c:pt>
                <c:pt idx="192">
                  <c:v>4802.28759765625</c:v>
                </c:pt>
                <c:pt idx="193">
                  <c:v>4767.38037109375</c:v>
                </c:pt>
                <c:pt idx="194">
                  <c:v>4699.7587890625</c:v>
                </c:pt>
                <c:pt idx="195">
                  <c:v>4711.1455078125</c:v>
                </c:pt>
                <c:pt idx="196">
                  <c:v>4679.64501953125</c:v>
                </c:pt>
                <c:pt idx="197">
                  <c:v>4619.1171875</c:v>
                </c:pt>
                <c:pt idx="198">
                  <c:v>4685.05859375</c:v>
                </c:pt>
                <c:pt idx="199">
                  <c:v>4784.3212890625</c:v>
                </c:pt>
                <c:pt idx="200">
                  <c:v>4804.24755859375</c:v>
                </c:pt>
                <c:pt idx="201">
                  <c:v>4725.56591796875</c:v>
                </c:pt>
                <c:pt idx="202">
                  <c:v>4833.134765625</c:v>
                </c:pt>
                <c:pt idx="203">
                  <c:v>4759.91259765625</c:v>
                </c:pt>
                <c:pt idx="204">
                  <c:v>4757.06640625</c:v>
                </c:pt>
                <c:pt idx="205">
                  <c:v>4769.5263671875</c:v>
                </c:pt>
                <c:pt idx="206">
                  <c:v>4832.6689453125</c:v>
                </c:pt>
                <c:pt idx="207">
                  <c:v>4853.5283203125</c:v>
                </c:pt>
                <c:pt idx="208">
                  <c:v>4904.67578125</c:v>
                </c:pt>
                <c:pt idx="209">
                  <c:v>4873.92236328125</c:v>
                </c:pt>
                <c:pt idx="210">
                  <c:v>4856.609375</c:v>
                </c:pt>
                <c:pt idx="211">
                  <c:v>4890.4892578125</c:v>
                </c:pt>
                <c:pt idx="212">
                  <c:v>4891.88916015625</c:v>
                </c:pt>
                <c:pt idx="213">
                  <c:v>4815.12109375</c:v>
                </c:pt>
                <c:pt idx="214">
                  <c:v>4853.80859375</c:v>
                </c:pt>
                <c:pt idx="215">
                  <c:v>4910.88232421875</c:v>
                </c:pt>
                <c:pt idx="216">
                  <c:v>4953.77099609375</c:v>
                </c:pt>
                <c:pt idx="217">
                  <c:v>4986.85791015625</c:v>
                </c:pt>
                <c:pt idx="218">
                  <c:v>5066.4736328125</c:v>
                </c:pt>
                <c:pt idx="219">
                  <c:v>5083.55322265625</c:v>
                </c:pt>
                <c:pt idx="220">
                  <c:v>5044.11865234375</c:v>
                </c:pt>
                <c:pt idx="221">
                  <c:v>5101.83447265625</c:v>
                </c:pt>
                <c:pt idx="222">
                  <c:v>5183.75927734375</c:v>
                </c:pt>
                <c:pt idx="223">
                  <c:v>5177.29345703125</c:v>
                </c:pt>
                <c:pt idx="224">
                  <c:v>5265.400390625</c:v>
                </c:pt>
                <c:pt idx="225">
                  <c:v>5345.95703125</c:v>
                </c:pt>
                <c:pt idx="226">
                  <c:v>5353.318359375</c:v>
                </c:pt>
                <c:pt idx="227">
                  <c:v>5297.58544921875</c:v>
                </c:pt>
                <c:pt idx="228">
                  <c:v>5334.064453125</c:v>
                </c:pt>
                <c:pt idx="229">
                  <c:v>5434.771484375</c:v>
                </c:pt>
                <c:pt idx="230">
                  <c:v>5512.25927734375</c:v>
                </c:pt>
                <c:pt idx="231">
                  <c:v>5441.18896484375</c:v>
                </c:pt>
                <c:pt idx="232">
                  <c:v>5483.3310546875</c:v>
                </c:pt>
                <c:pt idx="233">
                  <c:v>5490.74072265625</c:v>
                </c:pt>
                <c:pt idx="234">
                  <c:v>5512.63720703125</c:v>
                </c:pt>
                <c:pt idx="235">
                  <c:v>5514.52490234375</c:v>
                </c:pt>
                <c:pt idx="236">
                  <c:v>5571.34326171875</c:v>
                </c:pt>
                <c:pt idx="237">
                  <c:v>5569.03125</c:v>
                </c:pt>
                <c:pt idx="238">
                  <c:v>5579.97900390625</c:v>
                </c:pt>
                <c:pt idx="239">
                  <c:v>5552.13623046875</c:v>
                </c:pt>
                <c:pt idx="240">
                  <c:v>5493.712890625</c:v>
                </c:pt>
                <c:pt idx="241">
                  <c:v>5527.50244140625</c:v>
                </c:pt>
                <c:pt idx="242">
                  <c:v>5463.55810546875</c:v>
                </c:pt>
                <c:pt idx="243">
                  <c:v>5491.353515625</c:v>
                </c:pt>
                <c:pt idx="244">
                  <c:v>5528.1162109375</c:v>
                </c:pt>
                <c:pt idx="245">
                  <c:v>5518.34765625</c:v>
                </c:pt>
                <c:pt idx="246">
                  <c:v>5498.66845703125</c:v>
                </c:pt>
                <c:pt idx="247">
                  <c:v>5450.86328125</c:v>
                </c:pt>
                <c:pt idx="248">
                  <c:v>5411.1748046875</c:v>
                </c:pt>
                <c:pt idx="249">
                  <c:v>5430.33544921875</c:v>
                </c:pt>
                <c:pt idx="250">
                  <c:v>5489.4189453125</c:v>
                </c:pt>
                <c:pt idx="251">
                  <c:v>5455.44091796875</c:v>
                </c:pt>
                <c:pt idx="252">
                  <c:v>5494.0439453125</c:v>
                </c:pt>
                <c:pt idx="253">
                  <c:v>5588.8046875</c:v>
                </c:pt>
                <c:pt idx="254">
                  <c:v>5556.33642578125</c:v>
                </c:pt>
                <c:pt idx="255">
                  <c:v>5444.3505859375</c:v>
                </c:pt>
                <c:pt idx="256">
                  <c:v>5477.24365234375</c:v>
                </c:pt>
                <c:pt idx="257">
                  <c:v>5507.068359375</c:v>
                </c:pt>
                <c:pt idx="258">
                  <c:v>5492.81689453125</c:v>
                </c:pt>
                <c:pt idx="259">
                  <c:v>5572.75927734375</c:v>
                </c:pt>
                <c:pt idx="260">
                  <c:v>5483.42578125</c:v>
                </c:pt>
                <c:pt idx="261">
                  <c:v>5444.4931640625</c:v>
                </c:pt>
                <c:pt idx="262">
                  <c:v>5434.3466796875</c:v>
                </c:pt>
                <c:pt idx="263">
                  <c:v>5419.43408203125</c:v>
                </c:pt>
                <c:pt idx="264">
                  <c:v>5449.0703125</c:v>
                </c:pt>
                <c:pt idx="265">
                  <c:v>5427.55078125</c:v>
                </c:pt>
                <c:pt idx="266">
                  <c:v>5465.115234375</c:v>
                </c:pt>
                <c:pt idx="267">
                  <c:v>5503.9072265625</c:v>
                </c:pt>
                <c:pt idx="268">
                  <c:v>5507.91796875</c:v>
                </c:pt>
                <c:pt idx="269">
                  <c:v>5506.78515625</c:v>
                </c:pt>
                <c:pt idx="270">
                  <c:v>5474.55322265625</c:v>
                </c:pt>
                <c:pt idx="271">
                  <c:v>5456.14892578125</c:v>
                </c:pt>
                <c:pt idx="272">
                  <c:v>5458.130859375</c:v>
                </c:pt>
                <c:pt idx="273">
                  <c:v>5427.12646484375</c:v>
                </c:pt>
                <c:pt idx="274">
                  <c:v>5427.50341796875</c:v>
                </c:pt>
                <c:pt idx="275">
                  <c:v>5469.92919921875</c:v>
                </c:pt>
                <c:pt idx="276">
                  <c:v>5450.91064453125</c:v>
                </c:pt>
                <c:pt idx="277">
                  <c:v>5431.27880859375</c:v>
                </c:pt>
                <c:pt idx="278">
                  <c:v>5430.42919921875</c:v>
                </c:pt>
                <c:pt idx="279">
                  <c:v>5427.3623046875</c:v>
                </c:pt>
                <c:pt idx="280">
                  <c:v>5472.19384765625</c:v>
                </c:pt>
                <c:pt idx="281">
                  <c:v>5553.55224609375</c:v>
                </c:pt>
                <c:pt idx="282">
                  <c:v>5738.21337890625</c:v>
                </c:pt>
                <c:pt idx="283">
                  <c:v>5648.9267578125</c:v>
                </c:pt>
                <c:pt idx="284">
                  <c:v>5689.32275390625</c:v>
                </c:pt>
                <c:pt idx="285">
                  <c:v>5616.6474609375</c:v>
                </c:pt>
                <c:pt idx="286">
                  <c:v>5676.01416015625</c:v>
                </c:pt>
                <c:pt idx="287">
                  <c:v>6022.63671875</c:v>
                </c:pt>
                <c:pt idx="288">
                  <c:v>6161.04931640625</c:v>
                </c:pt>
                <c:pt idx="289">
                  <c:v>6033.25439453125</c:v>
                </c:pt>
                <c:pt idx="290">
                  <c:v>6101.54052734375</c:v>
                </c:pt>
                <c:pt idx="291">
                  <c:v>6090.68701171875</c:v>
                </c:pt>
                <c:pt idx="292">
                  <c:v>6018.955078125</c:v>
                </c:pt>
                <c:pt idx="293">
                  <c:v>6089.50634765625</c:v>
                </c:pt>
                <c:pt idx="294">
                  <c:v>6044.10888671875</c:v>
                </c:pt>
                <c:pt idx="295">
                  <c:v>5963.55322265625</c:v>
                </c:pt>
                <c:pt idx="296">
                  <c:v>5948.54541015625</c:v>
                </c:pt>
                <c:pt idx="297">
                  <c:v>5955.29443359375</c:v>
                </c:pt>
                <c:pt idx="298">
                  <c:v>5945.525390625</c:v>
                </c:pt>
                <c:pt idx="299">
                  <c:v>5851.14208984375</c:v>
                </c:pt>
                <c:pt idx="300">
                  <c:v>5785.16845703125</c:v>
                </c:pt>
                <c:pt idx="301">
                  <c:v>5752.134765625</c:v>
                </c:pt>
                <c:pt idx="302">
                  <c:v>5829.76513671875</c:v>
                </c:pt>
                <c:pt idx="303">
                  <c:v>5911.02783203125</c:v>
                </c:pt>
                <c:pt idx="304">
                  <c:v>6004.37353515625</c:v>
                </c:pt>
                <c:pt idx="305">
                  <c:v>5968.4609375</c:v>
                </c:pt>
                <c:pt idx="306">
                  <c:v>6003.94873046875</c:v>
                </c:pt>
                <c:pt idx="307">
                  <c:v>5960.39111328125</c:v>
                </c:pt>
                <c:pt idx="308">
                  <c:v>5977.568359375</c:v>
                </c:pt>
                <c:pt idx="309">
                  <c:v>6001.5419921875</c:v>
                </c:pt>
                <c:pt idx="310">
                  <c:v>5963.1748046875</c:v>
                </c:pt>
                <c:pt idx="311">
                  <c:v>5937.12548828125</c:v>
                </c:pt>
                <c:pt idx="312">
                  <c:v>5915.0869140625</c:v>
                </c:pt>
                <c:pt idx="313">
                  <c:v>5937.50341796875</c:v>
                </c:pt>
                <c:pt idx="314">
                  <c:v>5898.09814453125</c:v>
                </c:pt>
                <c:pt idx="315">
                  <c:v>5924.572265625</c:v>
                </c:pt>
                <c:pt idx="316">
                  <c:v>5848.310546875</c:v>
                </c:pt>
                <c:pt idx="317">
                  <c:v>5896.35205078125</c:v>
                </c:pt>
                <c:pt idx="318">
                  <c:v>5848.4521484375</c:v>
                </c:pt>
                <c:pt idx="319">
                  <c:v>5861.1943359375</c:v>
                </c:pt>
                <c:pt idx="320">
                  <c:v>5831.6044921875</c:v>
                </c:pt>
                <c:pt idx="321">
                  <c:v>5846.14013671875</c:v>
                </c:pt>
                <c:pt idx="322">
                  <c:v>5783.564453125</c:v>
                </c:pt>
                <c:pt idx="323">
                  <c:v>5859.58935546875</c:v>
                </c:pt>
                <c:pt idx="324">
                  <c:v>5828.6787109375</c:v>
                </c:pt>
                <c:pt idx="325">
                  <c:v>5849.0654296875</c:v>
                </c:pt>
                <c:pt idx="326">
                  <c:v>6015.88818359375</c:v>
                </c:pt>
                <c:pt idx="327">
                  <c:v>5918.2490234375</c:v>
                </c:pt>
                <c:pt idx="328">
                  <c:v>5879.88232421875</c:v>
                </c:pt>
                <c:pt idx="329">
                  <c:v>5855.05908203125</c:v>
                </c:pt>
                <c:pt idx="330">
                  <c:v>5897.814453125</c:v>
                </c:pt>
                <c:pt idx="331">
                  <c:v>5883.6572265625</c:v>
                </c:pt>
                <c:pt idx="332">
                  <c:v>5837.9287109375</c:v>
                </c:pt>
                <c:pt idx="333">
                  <c:v>5864.9228515625</c:v>
                </c:pt>
                <c:pt idx="334">
                  <c:v>5912.06689453125</c:v>
                </c:pt>
                <c:pt idx="335">
                  <c:v>5830.9443359375</c:v>
                </c:pt>
                <c:pt idx="336">
                  <c:v>5823.29931640625</c:v>
                </c:pt>
                <c:pt idx="337">
                  <c:v>5842.3173828125</c:v>
                </c:pt>
                <c:pt idx="338">
                  <c:v>5806.12158203125</c:v>
                </c:pt>
                <c:pt idx="339">
                  <c:v>5816.880859375</c:v>
                </c:pt>
                <c:pt idx="340">
                  <c:v>5807.7734375</c:v>
                </c:pt>
                <c:pt idx="341">
                  <c:v>5766.48046875</c:v>
                </c:pt>
                <c:pt idx="342">
                  <c:v>5747.0849609375</c:v>
                </c:pt>
                <c:pt idx="343">
                  <c:v>5672.89990234375</c:v>
                </c:pt>
                <c:pt idx="344">
                  <c:v>5702.20556640625</c:v>
                </c:pt>
                <c:pt idx="345">
                  <c:v>5732.078125</c:v>
                </c:pt>
                <c:pt idx="346">
                  <c:v>5849.8681640625</c:v>
                </c:pt>
                <c:pt idx="347">
                  <c:v>5902.25048828125</c:v>
                </c:pt>
                <c:pt idx="348">
                  <c:v>5856.0498046875</c:v>
                </c:pt>
                <c:pt idx="349">
                  <c:v>5844.01611328125</c:v>
                </c:pt>
                <c:pt idx="350">
                  <c:v>5756.80615234375</c:v>
                </c:pt>
                <c:pt idx="351">
                  <c:v>5754.87109375</c:v>
                </c:pt>
                <c:pt idx="352">
                  <c:v>5662.42333984375</c:v>
                </c:pt>
                <c:pt idx="353">
                  <c:v>5662.32861328125</c:v>
                </c:pt>
                <c:pt idx="354">
                  <c:v>5658.41162109375</c:v>
                </c:pt>
                <c:pt idx="355">
                  <c:v>5707.96240234375</c:v>
                </c:pt>
                <c:pt idx="356">
                  <c:v>5667.189453125</c:v>
                </c:pt>
                <c:pt idx="357">
                  <c:v>5685.6416015625</c:v>
                </c:pt>
                <c:pt idx="358">
                  <c:v>5680.49755859375</c:v>
                </c:pt>
                <c:pt idx="359">
                  <c:v>5668.36962890625</c:v>
                </c:pt>
                <c:pt idx="360">
                  <c:v>5581.81982421875</c:v>
                </c:pt>
                <c:pt idx="361">
                  <c:v>5653.55078125</c:v>
                </c:pt>
                <c:pt idx="362">
                  <c:v>5637.31689453125</c:v>
                </c:pt>
                <c:pt idx="363">
                  <c:v>5608.57763671875</c:v>
                </c:pt>
                <c:pt idx="364">
                  <c:v>5587.10546875</c:v>
                </c:pt>
                <c:pt idx="365">
                  <c:v>5571.34326171875</c:v>
                </c:pt>
                <c:pt idx="366">
                  <c:v>5559.9228515625</c:v>
                </c:pt>
                <c:pt idx="367">
                  <c:v>5620.23388671875</c:v>
                </c:pt>
                <c:pt idx="368">
                  <c:v>5589.04052734375</c:v>
                </c:pt>
                <c:pt idx="369">
                  <c:v>5764.40478515625</c:v>
                </c:pt>
                <c:pt idx="370">
                  <c:v>5801.166015625</c:v>
                </c:pt>
                <c:pt idx="371">
                  <c:v>5831.65283203125</c:v>
                </c:pt>
                <c:pt idx="372">
                  <c:v>5827.923828125</c:v>
                </c:pt>
                <c:pt idx="373">
                  <c:v>5756.71142578125</c:v>
                </c:pt>
                <c:pt idx="374">
                  <c:v>5751.4267578125</c:v>
                </c:pt>
                <c:pt idx="375">
                  <c:v>5732.03076171875</c:v>
                </c:pt>
                <c:pt idx="376">
                  <c:v>5734.34326171875</c:v>
                </c:pt>
                <c:pt idx="377">
                  <c:v>5744.63134765625</c:v>
                </c:pt>
                <c:pt idx="378">
                  <c:v>5795.22021484375</c:v>
                </c:pt>
                <c:pt idx="379">
                  <c:v>5852.369140625</c:v>
                </c:pt>
                <c:pt idx="380">
                  <c:v>5811.595703125</c:v>
                </c:pt>
                <c:pt idx="381">
                  <c:v>5735.66455078125</c:v>
                </c:pt>
                <c:pt idx="382">
                  <c:v>5784.224609375</c:v>
                </c:pt>
                <c:pt idx="383">
                  <c:v>5865.81884765625</c:v>
                </c:pt>
                <c:pt idx="384">
                  <c:v>5858.59814453125</c:v>
                </c:pt>
                <c:pt idx="385">
                  <c:v>5835.99365234375</c:v>
                </c:pt>
                <c:pt idx="386">
                  <c:v>5773.98388671875</c:v>
                </c:pt>
                <c:pt idx="387">
                  <c:v>5800.22216796875</c:v>
                </c:pt>
                <c:pt idx="388">
                  <c:v>5802.2041015625</c:v>
                </c:pt>
                <c:pt idx="389">
                  <c:v>5810.84033203125</c:v>
                </c:pt>
                <c:pt idx="390">
                  <c:v>5845.47998046875</c:v>
                </c:pt>
                <c:pt idx="391">
                  <c:v>5941.892578125</c:v>
                </c:pt>
                <c:pt idx="392">
                  <c:v>5934.435546875</c:v>
                </c:pt>
                <c:pt idx="393">
                  <c:v>5913.48193359375</c:v>
                </c:pt>
                <c:pt idx="394">
                  <c:v>5833.06787109375</c:v>
                </c:pt>
                <c:pt idx="395">
                  <c:v>5882.85546875</c:v>
                </c:pt>
                <c:pt idx="396">
                  <c:v>5780.26025390625</c:v>
                </c:pt>
                <c:pt idx="397">
                  <c:v>5801.2138671875</c:v>
                </c:pt>
                <c:pt idx="398">
                  <c:v>5875.30419921875</c:v>
                </c:pt>
                <c:pt idx="399">
                  <c:v>5884.7900390625</c:v>
                </c:pt>
                <c:pt idx="400">
                  <c:v>5819.71240234375</c:v>
                </c:pt>
                <c:pt idx="401">
                  <c:v>5899.65576171875</c:v>
                </c:pt>
                <c:pt idx="402">
                  <c:v>6036.369140625</c:v>
                </c:pt>
                <c:pt idx="403">
                  <c:v>5951.896484375</c:v>
                </c:pt>
                <c:pt idx="404">
                  <c:v>5974.97265625</c:v>
                </c:pt>
                <c:pt idx="405">
                  <c:v>5954.96435546875</c:v>
                </c:pt>
                <c:pt idx="406">
                  <c:v>6005.88330078125</c:v>
                </c:pt>
                <c:pt idx="407">
                  <c:v>5966.14892578125</c:v>
                </c:pt>
                <c:pt idx="408">
                  <c:v>6012.8681640625</c:v>
                </c:pt>
                <c:pt idx="409">
                  <c:v>6077.28466796875</c:v>
                </c:pt>
                <c:pt idx="410">
                  <c:v>5995.78466796875</c:v>
                </c:pt>
                <c:pt idx="411">
                  <c:v>6027.63916015625</c:v>
                </c:pt>
                <c:pt idx="412">
                  <c:v>6043.16455078125</c:v>
                </c:pt>
                <c:pt idx="413">
                  <c:v>6074.40576171875</c:v>
                </c:pt>
                <c:pt idx="414">
                  <c:v>6039.3427734375</c:v>
                </c:pt>
                <c:pt idx="415">
                  <c:v>6083.13623046875</c:v>
                </c:pt>
                <c:pt idx="416">
                  <c:v>6051.70703125</c:v>
                </c:pt>
                <c:pt idx="417">
                  <c:v>6057.60546875</c:v>
                </c:pt>
                <c:pt idx="418">
                  <c:v>6053.9716796875</c:v>
                </c:pt>
                <c:pt idx="419">
                  <c:v>6006.8271484375</c:v>
                </c:pt>
                <c:pt idx="420">
                  <c:v>6035.9443359375</c:v>
                </c:pt>
                <c:pt idx="421">
                  <c:v>6018.4833984375</c:v>
                </c:pt>
                <c:pt idx="422">
                  <c:v>6032.4052734375</c:v>
                </c:pt>
                <c:pt idx="423">
                  <c:v>6027.21435546875</c:v>
                </c:pt>
                <c:pt idx="424">
                  <c:v>5976.43603515625</c:v>
                </c:pt>
                <c:pt idx="425">
                  <c:v>6033.44287109375</c:v>
                </c:pt>
                <c:pt idx="426">
                  <c:v>5986.77099609375</c:v>
                </c:pt>
                <c:pt idx="427">
                  <c:v>6041.5126953125</c:v>
                </c:pt>
                <c:pt idx="428">
                  <c:v>6025.4208984375</c:v>
                </c:pt>
                <c:pt idx="429">
                  <c:v>6045.33642578125</c:v>
                </c:pt>
                <c:pt idx="430">
                  <c:v>6037.3603515625</c:v>
                </c:pt>
                <c:pt idx="431">
                  <c:v>6040.09765625</c:v>
                </c:pt>
                <c:pt idx="432">
                  <c:v>6033.44287109375</c:v>
                </c:pt>
                <c:pt idx="433">
                  <c:v>6035.0009765625</c:v>
                </c:pt>
                <c:pt idx="434">
                  <c:v>6063.126953125</c:v>
                </c:pt>
                <c:pt idx="435">
                  <c:v>6066.33642578125</c:v>
                </c:pt>
                <c:pt idx="436">
                  <c:v>5967.23388671875</c:v>
                </c:pt>
                <c:pt idx="437">
                  <c:v>5993.3310546875</c:v>
                </c:pt>
                <c:pt idx="438">
                  <c:v>6000.92822265625</c:v>
                </c:pt>
                <c:pt idx="439">
                  <c:v>6035.9443359375</c:v>
                </c:pt>
                <c:pt idx="440">
                  <c:v>6024.90185546875</c:v>
                </c:pt>
                <c:pt idx="441">
                  <c:v>6000.3623046875</c:v>
                </c:pt>
                <c:pt idx="442">
                  <c:v>6009.28125</c:v>
                </c:pt>
                <c:pt idx="443">
                  <c:v>6027.21435546875</c:v>
                </c:pt>
                <c:pt idx="444">
                  <c:v>6019.38037109375</c:v>
                </c:pt>
                <c:pt idx="445">
                  <c:v>6011.9716796875</c:v>
                </c:pt>
                <c:pt idx="446">
                  <c:v>6026.8837890625</c:v>
                </c:pt>
                <c:pt idx="447">
                  <c:v>6011.1689453125</c:v>
                </c:pt>
                <c:pt idx="448">
                  <c:v>6027.591796875</c:v>
                </c:pt>
                <c:pt idx="449">
                  <c:v>6033.0185546875</c:v>
                </c:pt>
                <c:pt idx="450">
                  <c:v>6038.3515625</c:v>
                </c:pt>
                <c:pt idx="451">
                  <c:v>6041.22998046875</c:v>
                </c:pt>
                <c:pt idx="452">
                  <c:v>6086.392578125</c:v>
                </c:pt>
                <c:pt idx="453">
                  <c:v>6077.61474609375</c:v>
                </c:pt>
                <c:pt idx="454">
                  <c:v>6053.3583984375</c:v>
                </c:pt>
                <c:pt idx="455">
                  <c:v>6068.69580078125</c:v>
                </c:pt>
                <c:pt idx="456">
                  <c:v>6045.8076171875</c:v>
                </c:pt>
                <c:pt idx="457">
                  <c:v>6066.85546875</c:v>
                </c:pt>
                <c:pt idx="458">
                  <c:v>6040.94677734375</c:v>
                </c:pt>
                <c:pt idx="459">
                  <c:v>6219.23681640625</c:v>
                </c:pt>
                <c:pt idx="460">
                  <c:v>6219.09521484375</c:v>
                </c:pt>
                <c:pt idx="461">
                  <c:v>6182.56884765625</c:v>
                </c:pt>
                <c:pt idx="462">
                  <c:v>6206.0703125</c:v>
                </c:pt>
                <c:pt idx="463">
                  <c:v>6314.65771484375</c:v>
                </c:pt>
                <c:pt idx="464">
                  <c:v>6309.89111328125</c:v>
                </c:pt>
                <c:pt idx="465">
                  <c:v>6243.3515625</c:v>
                </c:pt>
                <c:pt idx="466">
                  <c:v>6286.390625</c:v>
                </c:pt>
                <c:pt idx="467">
                  <c:v>6300.40673828125</c:v>
                </c:pt>
                <c:pt idx="468">
                  <c:v>6299.88720703125</c:v>
                </c:pt>
                <c:pt idx="469">
                  <c:v>6261.095703125</c:v>
                </c:pt>
                <c:pt idx="470">
                  <c:v>6346.79541015625</c:v>
                </c:pt>
                <c:pt idx="471">
                  <c:v>6465.01025390625</c:v>
                </c:pt>
                <c:pt idx="472">
                  <c:v>6433.25927734375</c:v>
                </c:pt>
                <c:pt idx="473">
                  <c:v>6316.78857421875</c:v>
                </c:pt>
                <c:pt idx="474">
                  <c:v>6402.369140625</c:v>
                </c:pt>
                <c:pt idx="475">
                  <c:v>6420.041015625</c:v>
                </c:pt>
                <c:pt idx="476">
                  <c:v>6524.68212890625</c:v>
                </c:pt>
                <c:pt idx="477">
                  <c:v>6375.02392578125</c:v>
                </c:pt>
                <c:pt idx="478">
                  <c:v>6448.5361328125</c:v>
                </c:pt>
                <c:pt idx="479">
                  <c:v>6417.07177734375</c:v>
                </c:pt>
                <c:pt idx="480">
                  <c:v>6557.96630859375</c:v>
                </c:pt>
                <c:pt idx="481">
                  <c:v>6594.79443359375</c:v>
                </c:pt>
                <c:pt idx="482">
                  <c:v>6634.2080078125</c:v>
                </c:pt>
                <c:pt idx="483">
                  <c:v>6611.41259765625</c:v>
                </c:pt>
                <c:pt idx="484">
                  <c:v>6646.42041015625</c:v>
                </c:pt>
                <c:pt idx="485">
                  <c:v>6555.33203125</c:v>
                </c:pt>
                <c:pt idx="486">
                  <c:v>6456.77294921875</c:v>
                </c:pt>
                <c:pt idx="487">
                  <c:v>6516.87646484375</c:v>
                </c:pt>
                <c:pt idx="488">
                  <c:v>6489.673828125</c:v>
                </c:pt>
                <c:pt idx="489">
                  <c:v>6525.40087890625</c:v>
                </c:pt>
                <c:pt idx="490">
                  <c:v>6483.8798828125</c:v>
                </c:pt>
                <c:pt idx="491">
                  <c:v>6583.63623046875</c:v>
                </c:pt>
                <c:pt idx="492">
                  <c:v>6638.9013671875</c:v>
                </c:pt>
                <c:pt idx="493">
                  <c:v>6697.52001953125</c:v>
                </c:pt>
                <c:pt idx="494">
                  <c:v>6711.025390625</c:v>
                </c:pt>
                <c:pt idx="495">
                  <c:v>6685.49951171875</c:v>
                </c:pt>
                <c:pt idx="496">
                  <c:v>6633.92138671875</c:v>
                </c:pt>
                <c:pt idx="497">
                  <c:v>6752.64208984375</c:v>
                </c:pt>
                <c:pt idx="498">
                  <c:v>6879.9365234375</c:v>
                </c:pt>
                <c:pt idx="499">
                  <c:v>6837.8876953125</c:v>
                </c:pt>
                <c:pt idx="500">
                  <c:v>6638.279296875</c:v>
                </c:pt>
                <c:pt idx="501">
                  <c:v>6687.07958984375</c:v>
                </c:pt>
                <c:pt idx="502">
                  <c:v>6717.77783203125</c:v>
                </c:pt>
                <c:pt idx="503">
                  <c:v>6699.0048828125</c:v>
                </c:pt>
                <c:pt idx="504">
                  <c:v>6565.14990234375</c:v>
                </c:pt>
                <c:pt idx="505">
                  <c:v>6574.8720703125</c:v>
                </c:pt>
                <c:pt idx="506">
                  <c:v>6488.189453125</c:v>
                </c:pt>
                <c:pt idx="507">
                  <c:v>6619.7451171875</c:v>
                </c:pt>
                <c:pt idx="508">
                  <c:v>6542.306640625</c:v>
                </c:pt>
                <c:pt idx="509">
                  <c:v>6457.58740234375</c:v>
                </c:pt>
                <c:pt idx="510">
                  <c:v>6541.060546875</c:v>
                </c:pt>
                <c:pt idx="511">
                  <c:v>6645.79833984375</c:v>
                </c:pt>
                <c:pt idx="512">
                  <c:v>6636.50732421875</c:v>
                </c:pt>
                <c:pt idx="513">
                  <c:v>6747.0869140625</c:v>
                </c:pt>
                <c:pt idx="514">
                  <c:v>6831.662109375</c:v>
                </c:pt>
                <c:pt idx="515">
                  <c:v>7046.49951171875</c:v>
                </c:pt>
                <c:pt idx="516">
                  <c:v>6919.54150390625</c:v>
                </c:pt>
                <c:pt idx="517">
                  <c:v>6800.9638671875</c:v>
                </c:pt>
                <c:pt idx="518">
                  <c:v>6946.4560546875</c:v>
                </c:pt>
                <c:pt idx="519">
                  <c:v>6907.521484375</c:v>
                </c:pt>
                <c:pt idx="520">
                  <c:v>6839.80322265625</c:v>
                </c:pt>
                <c:pt idx="521">
                  <c:v>6920.451171875</c:v>
                </c:pt>
                <c:pt idx="522">
                  <c:v>7029.64208984375</c:v>
                </c:pt>
                <c:pt idx="523">
                  <c:v>7033.80908203125</c:v>
                </c:pt>
                <c:pt idx="524">
                  <c:v>6997.31640625</c:v>
                </c:pt>
                <c:pt idx="525">
                  <c:v>6906.7548828125</c:v>
                </c:pt>
                <c:pt idx="526">
                  <c:v>6892.72216796875</c:v>
                </c:pt>
                <c:pt idx="527">
                  <c:v>6802.5927734375</c:v>
                </c:pt>
                <c:pt idx="528">
                  <c:v>6637.9443359375</c:v>
                </c:pt>
                <c:pt idx="529">
                  <c:v>6665.14599609375</c:v>
                </c:pt>
                <c:pt idx="530">
                  <c:v>6785.3515625</c:v>
                </c:pt>
                <c:pt idx="531">
                  <c:v>6801.8740234375</c:v>
                </c:pt>
                <c:pt idx="532">
                  <c:v>6657.435546875</c:v>
                </c:pt>
                <c:pt idx="533">
                  <c:v>6590.6279296875</c:v>
                </c:pt>
                <c:pt idx="534">
                  <c:v>6575.78173828125</c:v>
                </c:pt>
                <c:pt idx="535">
                  <c:v>6738.1796875</c:v>
                </c:pt>
                <c:pt idx="536">
                  <c:v>6700.345703125</c:v>
                </c:pt>
                <c:pt idx="537">
                  <c:v>6864.94580078125</c:v>
                </c:pt>
                <c:pt idx="538">
                  <c:v>7013.88623046875</c:v>
                </c:pt>
                <c:pt idx="539">
                  <c:v>7064.36328125</c:v>
                </c:pt>
                <c:pt idx="540">
                  <c:v>6984.1455078125</c:v>
                </c:pt>
                <c:pt idx="541">
                  <c:v>6914.5126953125</c:v>
                </c:pt>
                <c:pt idx="542">
                  <c:v>6936.302734375</c:v>
                </c:pt>
                <c:pt idx="543">
                  <c:v>6965.7080078125</c:v>
                </c:pt>
                <c:pt idx="544">
                  <c:v>7015.70654296875</c:v>
                </c:pt>
                <c:pt idx="545">
                  <c:v>7013.98193359375</c:v>
                </c:pt>
                <c:pt idx="546">
                  <c:v>7001.6259765625</c:v>
                </c:pt>
                <c:pt idx="547">
                  <c:v>6977.01025390625</c:v>
                </c:pt>
                <c:pt idx="548">
                  <c:v>6896.50634765625</c:v>
                </c:pt>
                <c:pt idx="549">
                  <c:v>6963.55322265625</c:v>
                </c:pt>
                <c:pt idx="550">
                  <c:v>7085.2431640625</c:v>
                </c:pt>
                <c:pt idx="551">
                  <c:v>7079.30517578125</c:v>
                </c:pt>
                <c:pt idx="552">
                  <c:v>7131.123046875</c:v>
                </c:pt>
                <c:pt idx="553">
                  <c:v>7200.66015625</c:v>
                </c:pt>
                <c:pt idx="554">
                  <c:v>7254.39404296875</c:v>
                </c:pt>
                <c:pt idx="555">
                  <c:v>7197.93017578125</c:v>
                </c:pt>
                <c:pt idx="556">
                  <c:v>7261.7685546875</c:v>
                </c:pt>
                <c:pt idx="557">
                  <c:v>7243.71337890625</c:v>
                </c:pt>
                <c:pt idx="558">
                  <c:v>7277.62060546875</c:v>
                </c:pt>
                <c:pt idx="559">
                  <c:v>7288.49169921875</c:v>
                </c:pt>
                <c:pt idx="560">
                  <c:v>7163.927734375</c:v>
                </c:pt>
                <c:pt idx="561">
                  <c:v>7205.68896484375</c:v>
                </c:pt>
                <c:pt idx="562">
                  <c:v>7241.7978515625</c:v>
                </c:pt>
                <c:pt idx="563">
                  <c:v>7162.6826171875</c:v>
                </c:pt>
                <c:pt idx="564">
                  <c:v>7159.0908203125</c:v>
                </c:pt>
                <c:pt idx="565">
                  <c:v>7131.123046875</c:v>
                </c:pt>
                <c:pt idx="566">
                  <c:v>7172.30908203125</c:v>
                </c:pt>
                <c:pt idx="567">
                  <c:v>7200.99560546875</c:v>
                </c:pt>
                <c:pt idx="568">
                  <c:v>7250.0830078125</c:v>
                </c:pt>
                <c:pt idx="569">
                  <c:v>7180.59423828125</c:v>
                </c:pt>
                <c:pt idx="570">
                  <c:v>7244.33642578125</c:v>
                </c:pt>
                <c:pt idx="571">
                  <c:v>7181.6474609375</c:v>
                </c:pt>
                <c:pt idx="572">
                  <c:v>7268.330078125</c:v>
                </c:pt>
                <c:pt idx="573">
                  <c:v>7225.32421875</c:v>
                </c:pt>
                <c:pt idx="574">
                  <c:v>7167.13623046875</c:v>
                </c:pt>
                <c:pt idx="575">
                  <c:v>7114.45654296875</c:v>
                </c:pt>
                <c:pt idx="576">
                  <c:v>7228.48486328125</c:v>
                </c:pt>
                <c:pt idx="577">
                  <c:v>7202.86328125</c:v>
                </c:pt>
                <c:pt idx="578">
                  <c:v>7203.7734375</c:v>
                </c:pt>
                <c:pt idx="579">
                  <c:v>7127.38720703125</c:v>
                </c:pt>
                <c:pt idx="580">
                  <c:v>7180.59423828125</c:v>
                </c:pt>
                <c:pt idx="581">
                  <c:v>7265.3603515625</c:v>
                </c:pt>
                <c:pt idx="582">
                  <c:v>7184.2333984375</c:v>
                </c:pt>
                <c:pt idx="583">
                  <c:v>7193.189453125</c:v>
                </c:pt>
                <c:pt idx="584">
                  <c:v>7203.7734375</c:v>
                </c:pt>
                <c:pt idx="585">
                  <c:v>7236.865234375</c:v>
                </c:pt>
                <c:pt idx="586">
                  <c:v>7212.919921875</c:v>
                </c:pt>
                <c:pt idx="587">
                  <c:v>7220.05615234375</c:v>
                </c:pt>
                <c:pt idx="588">
                  <c:v>7166.2744140625</c:v>
                </c:pt>
                <c:pt idx="589">
                  <c:v>7099.6103515625</c:v>
                </c:pt>
                <c:pt idx="590">
                  <c:v>6996.40625</c:v>
                </c:pt>
                <c:pt idx="591">
                  <c:v>6976.48388671875</c:v>
                </c:pt>
                <c:pt idx="592">
                  <c:v>6967.048828125</c:v>
                </c:pt>
                <c:pt idx="593">
                  <c:v>7181.4560546875</c:v>
                </c:pt>
                <c:pt idx="594">
                  <c:v>7271.29833984375</c:v>
                </c:pt>
                <c:pt idx="595">
                  <c:v>7073.126953125</c:v>
                </c:pt>
                <c:pt idx="596">
                  <c:v>7126.76416015625</c:v>
                </c:pt>
                <c:pt idx="597">
                  <c:v>6904.83935546875</c:v>
                </c:pt>
                <c:pt idx="598">
                  <c:v>6913.5546875</c:v>
                </c:pt>
                <c:pt idx="599">
                  <c:v>6838.07958984375</c:v>
                </c:pt>
                <c:pt idx="600">
                  <c:v>6880.7021484375</c:v>
                </c:pt>
                <c:pt idx="601">
                  <c:v>6788.03369140625</c:v>
                </c:pt>
                <c:pt idx="602">
                  <c:v>6817.67822265625</c:v>
                </c:pt>
                <c:pt idx="603">
                  <c:v>6797.228515625</c:v>
                </c:pt>
                <c:pt idx="604">
                  <c:v>6916.09326171875</c:v>
                </c:pt>
                <c:pt idx="605">
                  <c:v>6976.9150390625</c:v>
                </c:pt>
                <c:pt idx="606">
                  <c:v>6944.97119140625</c:v>
                </c:pt>
                <c:pt idx="607">
                  <c:v>6867.9150390625</c:v>
                </c:pt>
                <c:pt idx="608">
                  <c:v>6806.615234375</c:v>
                </c:pt>
                <c:pt idx="609">
                  <c:v>6720.6513671875</c:v>
                </c:pt>
                <c:pt idx="610">
                  <c:v>6825.484375</c:v>
                </c:pt>
                <c:pt idx="611">
                  <c:v>6750.6787109375</c:v>
                </c:pt>
                <c:pt idx="612">
                  <c:v>6704.99072265625</c:v>
                </c:pt>
                <c:pt idx="613">
                  <c:v>6613.2802734375</c:v>
                </c:pt>
                <c:pt idx="614">
                  <c:v>6604.70751953125</c:v>
                </c:pt>
                <c:pt idx="615">
                  <c:v>6474.87548828125</c:v>
                </c:pt>
                <c:pt idx="616">
                  <c:v>6510.1240234375</c:v>
                </c:pt>
                <c:pt idx="617">
                  <c:v>6506.53173828125</c:v>
                </c:pt>
                <c:pt idx="618">
                  <c:v>6118.568359375</c:v>
                </c:pt>
                <c:pt idx="619">
                  <c:v>6177.95361328125</c:v>
                </c:pt>
                <c:pt idx="620">
                  <c:v>6041.369140625</c:v>
                </c:pt>
                <c:pt idx="621">
                  <c:v>6043.8115234375</c:v>
                </c:pt>
                <c:pt idx="622">
                  <c:v>6000.85400390625</c:v>
                </c:pt>
                <c:pt idx="623">
                  <c:v>6011.341796875</c:v>
                </c:pt>
                <c:pt idx="624">
                  <c:v>5891.66259765625</c:v>
                </c:pt>
                <c:pt idx="625">
                  <c:v>5841.42529296875</c:v>
                </c:pt>
                <c:pt idx="626">
                  <c:v>5865.322265625</c:v>
                </c:pt>
                <c:pt idx="627">
                  <c:v>5875.90673828125</c:v>
                </c:pt>
                <c:pt idx="628">
                  <c:v>5843.81982421875</c:v>
                </c:pt>
                <c:pt idx="629">
                  <c:v>5822.26904296875</c:v>
                </c:pt>
                <c:pt idx="630">
                  <c:v>5816.138671875</c:v>
                </c:pt>
                <c:pt idx="631">
                  <c:v>5813.26513671875</c:v>
                </c:pt>
                <c:pt idx="632">
                  <c:v>5857.3251953125</c:v>
                </c:pt>
                <c:pt idx="633">
                  <c:v>5877.630859375</c:v>
                </c:pt>
                <c:pt idx="634">
                  <c:v>6027.81591796875</c:v>
                </c:pt>
                <c:pt idx="635">
                  <c:v>5904.0185546875</c:v>
                </c:pt>
                <c:pt idx="636">
                  <c:v>6025.27734375</c:v>
                </c:pt>
                <c:pt idx="637">
                  <c:v>6113.7314453125</c:v>
                </c:pt>
                <c:pt idx="638">
                  <c:v>6027.1455078125</c:v>
                </c:pt>
                <c:pt idx="639">
                  <c:v>6036.14892578125</c:v>
                </c:pt>
                <c:pt idx="640">
                  <c:v>6043.28466796875</c:v>
                </c:pt>
                <c:pt idx="641">
                  <c:v>5888.119140625</c:v>
                </c:pt>
                <c:pt idx="642">
                  <c:v>6098.4072265625</c:v>
                </c:pt>
                <c:pt idx="643">
                  <c:v>6085.859375</c:v>
                </c:pt>
                <c:pt idx="644">
                  <c:v>6050.75537109375</c:v>
                </c:pt>
                <c:pt idx="645">
                  <c:v>6060.38134765625</c:v>
                </c:pt>
                <c:pt idx="646">
                  <c:v>6052.14501953125</c:v>
                </c:pt>
                <c:pt idx="647">
                  <c:v>6036.24462890625</c:v>
                </c:pt>
                <c:pt idx="648">
                  <c:v>6160.42529296875</c:v>
                </c:pt>
                <c:pt idx="649">
                  <c:v>6113.10986328125</c:v>
                </c:pt>
                <c:pt idx="650">
                  <c:v>6165.357421875</c:v>
                </c:pt>
                <c:pt idx="651">
                  <c:v>6225.93994140625</c:v>
                </c:pt>
                <c:pt idx="652">
                  <c:v>6104.345703125</c:v>
                </c:pt>
                <c:pt idx="653">
                  <c:v>6101.85498046875</c:v>
                </c:pt>
                <c:pt idx="654">
                  <c:v>6167.1298828125</c:v>
                </c:pt>
                <c:pt idx="655">
                  <c:v>6227.61572265625</c:v>
                </c:pt>
                <c:pt idx="656">
                  <c:v>6179.4384765625</c:v>
                </c:pt>
                <c:pt idx="657">
                  <c:v>6125.5615234375</c:v>
                </c:pt>
                <c:pt idx="658">
                  <c:v>6172.01513671875</c:v>
                </c:pt>
                <c:pt idx="659">
                  <c:v>5982.4150390625</c:v>
                </c:pt>
                <c:pt idx="660">
                  <c:v>6059.4716796875</c:v>
                </c:pt>
                <c:pt idx="661">
                  <c:v>6066.2724609375</c:v>
                </c:pt>
                <c:pt idx="662">
                  <c:v>6133.462890625</c:v>
                </c:pt>
                <c:pt idx="663">
                  <c:v>6074.3662109375</c:v>
                </c:pt>
                <c:pt idx="664">
                  <c:v>6138.49169921875</c:v>
                </c:pt>
                <c:pt idx="665">
                  <c:v>6141.89111328125</c:v>
                </c:pt>
                <c:pt idx="666">
                  <c:v>6101.232421875</c:v>
                </c:pt>
                <c:pt idx="667">
                  <c:v>6068.283203125</c:v>
                </c:pt>
                <c:pt idx="668">
                  <c:v>6064.78759765625</c:v>
                </c:pt>
                <c:pt idx="669">
                  <c:v>6043.859375</c:v>
                </c:pt>
                <c:pt idx="670">
                  <c:v>7241.60693359375</c:v>
                </c:pt>
                <c:pt idx="671">
                  <c:v>6958.95556640625</c:v>
                </c:pt>
                <c:pt idx="672">
                  <c:v>6974.80712890625</c:v>
                </c:pt>
                <c:pt idx="673">
                  <c:v>6772.42138671875</c:v>
                </c:pt>
                <c:pt idx="674">
                  <c:v>6631.3828125</c:v>
                </c:pt>
                <c:pt idx="675">
                  <c:v>6776.4921875</c:v>
                </c:pt>
                <c:pt idx="676">
                  <c:v>6793.25341796875</c:v>
                </c:pt>
                <c:pt idx="677">
                  <c:v>6880.845703125</c:v>
                </c:pt>
                <c:pt idx="678">
                  <c:v>7045.68603515625</c:v>
                </c:pt>
                <c:pt idx="679">
                  <c:v>7091.0859375</c:v>
                </c:pt>
                <c:pt idx="680">
                  <c:v>7394.37841796875</c:v>
                </c:pt>
                <c:pt idx="681">
                  <c:v>7831.81201171875</c:v>
                </c:pt>
                <c:pt idx="682">
                  <c:v>7837.84619140625</c:v>
                </c:pt>
                <c:pt idx="683">
                  <c:v>7630.04833984375</c:v>
                </c:pt>
                <c:pt idx="684">
                  <c:v>7705.28466796875</c:v>
                </c:pt>
                <c:pt idx="685">
                  <c:v>7552.94482421875</c:v>
                </c:pt>
                <c:pt idx="686">
                  <c:v>7492.45849609375</c:v>
                </c:pt>
                <c:pt idx="687">
                  <c:v>7584.21728515625</c:v>
                </c:pt>
                <c:pt idx="688">
                  <c:v>7736.36572265625</c:v>
                </c:pt>
                <c:pt idx="689">
                  <c:v>7784.3525390625</c:v>
                </c:pt>
                <c:pt idx="690">
                  <c:v>7605.24169921875</c:v>
                </c:pt>
                <c:pt idx="691">
                  <c:v>7543.94140625</c:v>
                </c:pt>
                <c:pt idx="692">
                  <c:v>7530.626953125</c:v>
                </c:pt>
                <c:pt idx="693">
                  <c:v>7356.017578125</c:v>
                </c:pt>
                <c:pt idx="694">
                  <c:v>7390.451171875</c:v>
                </c:pt>
                <c:pt idx="695">
                  <c:v>7411.6669921875</c:v>
                </c:pt>
                <c:pt idx="696">
                  <c:v>7525.59814453125</c:v>
                </c:pt>
                <c:pt idx="697">
                  <c:v>7516.40380859375</c:v>
                </c:pt>
                <c:pt idx="698">
                  <c:v>7566.498046875</c:v>
                </c:pt>
                <c:pt idx="699">
                  <c:v>7572.67529296875</c:v>
                </c:pt>
                <c:pt idx="700">
                  <c:v>7820.74951171875</c:v>
                </c:pt>
                <c:pt idx="701">
                  <c:v>7818.49853515625</c:v>
                </c:pt>
                <c:pt idx="702">
                  <c:v>8152.009765625</c:v>
                </c:pt>
                <c:pt idx="703">
                  <c:v>8226.9111328125</c:v>
                </c:pt>
                <c:pt idx="704">
                  <c:v>8207.3232421875</c:v>
                </c:pt>
                <c:pt idx="705">
                  <c:v>8197.41015625</c:v>
                </c:pt>
                <c:pt idx="706">
                  <c:v>7998.08837890625</c:v>
                </c:pt>
                <c:pt idx="707">
                  <c:v>8274.7529296875</c:v>
                </c:pt>
                <c:pt idx="708">
                  <c:v>8326.7626953125</c:v>
                </c:pt>
                <c:pt idx="709">
                  <c:v>8512.1005859375</c:v>
                </c:pt>
                <c:pt idx="710">
                  <c:v>8614.107421875</c:v>
                </c:pt>
                <c:pt idx="711">
                  <c:v>8459.609375</c:v>
                </c:pt>
                <c:pt idx="712">
                  <c:v>8554.794921875</c:v>
                </c:pt>
                <c:pt idx="713">
                  <c:v>8359.427734375</c:v>
                </c:pt>
                <c:pt idx="714">
                  <c:v>8492.9560546875</c:v>
                </c:pt>
                <c:pt idx="715">
                  <c:v>8166.68017578125</c:v>
                </c:pt>
                <c:pt idx="716">
                  <c:v>8242.5947265625</c:v>
                </c:pt>
                <c:pt idx="717">
                  <c:v>8342.3896484375</c:v>
                </c:pt>
                <c:pt idx="718">
                  <c:v>8346.8544921875</c:v>
                </c:pt>
                <c:pt idx="719">
                  <c:v>8208.47265625</c:v>
                </c:pt>
                <c:pt idx="720">
                  <c:v>8446.7470703125</c:v>
                </c:pt>
                <c:pt idx="721">
                  <c:v>8343.6025390625</c:v>
                </c:pt>
                <c:pt idx="722">
                  <c:v>8159.39990234375</c:v>
                </c:pt>
                <c:pt idx="723">
                  <c:v>8066.2548828125</c:v>
                </c:pt>
                <c:pt idx="724">
                  <c:v>8329.1396484375</c:v>
                </c:pt>
                <c:pt idx="725">
                  <c:v>8322.73046875</c:v>
                </c:pt>
                <c:pt idx="726">
                  <c:v>8300.5498046875</c:v>
                </c:pt>
                <c:pt idx="727">
                  <c:v>8312.4892578125</c:v>
                </c:pt>
                <c:pt idx="728">
                  <c:v>8468.2978515625</c:v>
                </c:pt>
                <c:pt idx="729">
                  <c:v>8430.875</c:v>
                </c:pt>
                <c:pt idx="730">
                  <c:v>8477.6181640625</c:v>
                </c:pt>
                <c:pt idx="731">
                  <c:v>8271.37890625</c:v>
                </c:pt>
                <c:pt idx="732">
                  <c:v>8342.923828125</c:v>
                </c:pt>
                <c:pt idx="733">
                  <c:v>8120.27783203125</c:v>
                </c:pt>
                <c:pt idx="734">
                  <c:v>8154.302734375</c:v>
                </c:pt>
                <c:pt idx="735">
                  <c:v>8344.5732421875</c:v>
                </c:pt>
                <c:pt idx="736">
                  <c:v>8246.283203125</c:v>
                </c:pt>
                <c:pt idx="737">
                  <c:v>8184.00927734375</c:v>
                </c:pt>
                <c:pt idx="738">
                  <c:v>8370.4931640625</c:v>
                </c:pt>
                <c:pt idx="739">
                  <c:v>8318.314453125</c:v>
                </c:pt>
                <c:pt idx="740">
                  <c:v>8299.8701171875</c:v>
                </c:pt>
                <c:pt idx="741">
                  <c:v>8644.541015625</c:v>
                </c:pt>
                <c:pt idx="742">
                  <c:v>8643.619140625</c:v>
                </c:pt>
                <c:pt idx="743">
                  <c:v>8621.3876953125</c:v>
                </c:pt>
                <c:pt idx="744">
                  <c:v>8630.8056640625</c:v>
                </c:pt>
                <c:pt idx="745">
                  <c:v>8628.9111328125</c:v>
                </c:pt>
                <c:pt idx="746">
                  <c:v>8633.619140625</c:v>
                </c:pt>
                <c:pt idx="747">
                  <c:v>8646.2890625</c:v>
                </c:pt>
                <c:pt idx="748">
                  <c:v>8509.3134765625</c:v>
                </c:pt>
                <c:pt idx="749">
                  <c:v>8634.056640625</c:v>
                </c:pt>
                <c:pt idx="750">
                  <c:v>8611.6318359375</c:v>
                </c:pt>
                <c:pt idx="751">
                  <c:v>8583.2373046875</c:v>
                </c:pt>
                <c:pt idx="752">
                  <c:v>8509.3134765625</c:v>
                </c:pt>
                <c:pt idx="753">
                  <c:v>8414.80859375</c:v>
                </c:pt>
                <c:pt idx="754">
                  <c:v>8443.6416015625</c:v>
                </c:pt>
                <c:pt idx="755">
                  <c:v>8459.076171875</c:v>
                </c:pt>
                <c:pt idx="756">
                  <c:v>8471.1142578125</c:v>
                </c:pt>
                <c:pt idx="757">
                  <c:v>8535.0869140625</c:v>
                </c:pt>
                <c:pt idx="758">
                  <c:v>8397.3349609375</c:v>
                </c:pt>
                <c:pt idx="759">
                  <c:v>8297.685546875</c:v>
                </c:pt>
                <c:pt idx="760">
                  <c:v>8374.5224609375</c:v>
                </c:pt>
                <c:pt idx="761">
                  <c:v>8553.580078125</c:v>
                </c:pt>
                <c:pt idx="762">
                  <c:v>8538.82421875</c:v>
                </c:pt>
                <c:pt idx="763">
                  <c:v>8540.0869140625</c:v>
                </c:pt>
                <c:pt idx="764">
                  <c:v>8475.3837890625</c:v>
                </c:pt>
                <c:pt idx="765">
                  <c:v>8448.8349609375</c:v>
                </c:pt>
                <c:pt idx="766">
                  <c:v>8431.2138671875</c:v>
                </c:pt>
                <c:pt idx="767">
                  <c:v>8343.1171875</c:v>
                </c:pt>
                <c:pt idx="768">
                  <c:v>8339.3310546875</c:v>
                </c:pt>
                <c:pt idx="769">
                  <c:v>8407.576171875</c:v>
                </c:pt>
                <c:pt idx="770">
                  <c:v>8261.427734375</c:v>
                </c:pt>
                <c:pt idx="771">
                  <c:v>8278.2216796875</c:v>
                </c:pt>
                <c:pt idx="772">
                  <c:v>8227.4990234375</c:v>
                </c:pt>
                <c:pt idx="773">
                  <c:v>8203.3759765625</c:v>
                </c:pt>
                <c:pt idx="774">
                  <c:v>8345.0595703125</c:v>
                </c:pt>
                <c:pt idx="775">
                  <c:v>8262.7861328125</c:v>
                </c:pt>
                <c:pt idx="776">
                  <c:v>8303.169921875</c:v>
                </c:pt>
                <c:pt idx="777">
                  <c:v>8349.087890625</c:v>
                </c:pt>
                <c:pt idx="778">
                  <c:v>8534.9892578125</c:v>
                </c:pt>
                <c:pt idx="779">
                  <c:v>8535.6689453125</c:v>
                </c:pt>
                <c:pt idx="780">
                  <c:v>8566.296875</c:v>
                </c:pt>
                <c:pt idx="781">
                  <c:v>8623.330078125</c:v>
                </c:pt>
                <c:pt idx="782">
                  <c:v>8572.7529296875</c:v>
                </c:pt>
                <c:pt idx="783">
                  <c:v>8493.3427734375</c:v>
                </c:pt>
                <c:pt idx="784">
                  <c:v>8454.0771484375</c:v>
                </c:pt>
                <c:pt idx="785">
                  <c:v>8398.306640625</c:v>
                </c:pt>
                <c:pt idx="786">
                  <c:v>8246.6240234375</c:v>
                </c:pt>
                <c:pt idx="787">
                  <c:v>8202.9873046875</c:v>
                </c:pt>
                <c:pt idx="788">
                  <c:v>8222.5</c:v>
                </c:pt>
                <c:pt idx="789">
                  <c:v>8229.974609375</c:v>
                </c:pt>
                <c:pt idx="790">
                  <c:v>8280.115234375</c:v>
                </c:pt>
                <c:pt idx="791">
                  <c:v>8267.30078125</c:v>
                </c:pt>
                <c:pt idx="792">
                  <c:v>8247.4970703125</c:v>
                </c:pt>
                <c:pt idx="793">
                  <c:v>8227.7900390625</c:v>
                </c:pt>
                <c:pt idx="794">
                  <c:v>8060.18798828125</c:v>
                </c:pt>
                <c:pt idx="795">
                  <c:v>8250.021484375</c:v>
                </c:pt>
                <c:pt idx="796">
                  <c:v>8263.5146484375</c:v>
                </c:pt>
                <c:pt idx="797">
                  <c:v>8263.5146484375</c:v>
                </c:pt>
                <c:pt idx="798">
                  <c:v>8220.1708984375</c:v>
                </c:pt>
                <c:pt idx="799">
                  <c:v>8154.01220703125</c:v>
                </c:pt>
                <c:pt idx="800">
                  <c:v>8152.36181640625</c:v>
                </c:pt>
                <c:pt idx="801">
                  <c:v>8184.93115234375</c:v>
                </c:pt>
                <c:pt idx="802">
                  <c:v>8388.5986328125</c:v>
                </c:pt>
                <c:pt idx="803">
                  <c:v>8381.8505859375</c:v>
                </c:pt>
                <c:pt idx="804">
                  <c:v>8407.7705078125</c:v>
                </c:pt>
                <c:pt idx="805">
                  <c:v>8398.16015625</c:v>
                </c:pt>
                <c:pt idx="806">
                  <c:v>8497.615234375</c:v>
                </c:pt>
                <c:pt idx="807">
                  <c:v>8667.451171875</c:v>
                </c:pt>
                <c:pt idx="808">
                  <c:v>8727.10546875</c:v>
                </c:pt>
                <c:pt idx="809">
                  <c:v>8734.2392578125</c:v>
                </c:pt>
                <c:pt idx="810">
                  <c:v>8691.33203125</c:v>
                </c:pt>
                <c:pt idx="811">
                  <c:v>8690.361328125</c:v>
                </c:pt>
                <c:pt idx="812">
                  <c:v>8688.80859375</c:v>
                </c:pt>
                <c:pt idx="813">
                  <c:v>8687.44921875</c:v>
                </c:pt>
                <c:pt idx="814">
                  <c:v>8785.8369140625</c:v>
                </c:pt>
                <c:pt idx="815">
                  <c:v>8797.048828125</c:v>
                </c:pt>
                <c:pt idx="816">
                  <c:v>8787.0986328125</c:v>
                </c:pt>
                <c:pt idx="817">
                  <c:v>8804.0380859375</c:v>
                </c:pt>
                <c:pt idx="818">
                  <c:v>8777.2939453125</c:v>
                </c:pt>
                <c:pt idx="819">
                  <c:v>8692.44921875</c:v>
                </c:pt>
                <c:pt idx="820">
                  <c:v>8774.9638671875</c:v>
                </c:pt>
                <c:pt idx="821">
                  <c:v>8743.1220703125</c:v>
                </c:pt>
                <c:pt idx="822">
                  <c:v>8907.9111328125</c:v>
                </c:pt>
                <c:pt idx="823">
                  <c:v>8879.466796875</c:v>
                </c:pt>
                <c:pt idx="824">
                  <c:v>8799.0380859375</c:v>
                </c:pt>
                <c:pt idx="825">
                  <c:v>8667.7900390625</c:v>
                </c:pt>
                <c:pt idx="826">
                  <c:v>8282.6865234375</c:v>
                </c:pt>
                <c:pt idx="827">
                  <c:v>8442.4765625</c:v>
                </c:pt>
                <c:pt idx="828">
                  <c:v>8432.0888671875</c:v>
                </c:pt>
                <c:pt idx="829">
                  <c:v>8485.9658203125</c:v>
                </c:pt>
                <c:pt idx="830">
                  <c:v>8489.12109375</c:v>
                </c:pt>
                <c:pt idx="831">
                  <c:v>8501.0615234375</c:v>
                </c:pt>
                <c:pt idx="832">
                  <c:v>8527.078125</c:v>
                </c:pt>
                <c:pt idx="833">
                  <c:v>8383.2587890625</c:v>
                </c:pt>
                <c:pt idx="834">
                  <c:v>8445.630859375</c:v>
                </c:pt>
                <c:pt idx="835">
                  <c:v>8351.078125</c:v>
                </c:pt>
                <c:pt idx="836">
                  <c:v>8314.9169921875</c:v>
                </c:pt>
                <c:pt idx="837">
                  <c:v>8226.28515625</c:v>
                </c:pt>
                <c:pt idx="838">
                  <c:v>8335.158203125</c:v>
                </c:pt>
                <c:pt idx="839">
                  <c:v>8311.4228515625</c:v>
                </c:pt>
                <c:pt idx="840">
                  <c:v>8119.35595703125</c:v>
                </c:pt>
                <c:pt idx="841">
                  <c:v>8348.1171875</c:v>
                </c:pt>
                <c:pt idx="842">
                  <c:v>8496.2080078125</c:v>
                </c:pt>
                <c:pt idx="843">
                  <c:v>8454.1728515625</c:v>
                </c:pt>
                <c:pt idx="844">
                  <c:v>8267.05859375</c:v>
                </c:pt>
                <c:pt idx="845">
                  <c:v>8347.9228515625</c:v>
                </c:pt>
                <c:pt idx="846">
                  <c:v>8164.59375</c:v>
                </c:pt>
                <c:pt idx="847">
                  <c:v>8008.68798828125</c:v>
                </c:pt>
                <c:pt idx="848">
                  <c:v>7924.6201171875</c:v>
                </c:pt>
                <c:pt idx="849">
                  <c:v>7758.7158203125</c:v>
                </c:pt>
                <c:pt idx="850">
                  <c:v>7434.47900390625</c:v>
                </c:pt>
                <c:pt idx="851">
                  <c:v>7226.4921875</c:v>
                </c:pt>
                <c:pt idx="852">
                  <c:v>7003.2158203125</c:v>
                </c:pt>
                <c:pt idx="853">
                  <c:v>7129.31787109375</c:v>
                </c:pt>
                <c:pt idx="854">
                  <c:v>7381.66943359375</c:v>
                </c:pt>
                <c:pt idx="855">
                  <c:v>7326.966796875</c:v>
                </c:pt>
                <c:pt idx="856">
                  <c:v>7385.552734375</c:v>
                </c:pt>
                <c:pt idx="857">
                  <c:v>7616.93505859375</c:v>
                </c:pt>
                <c:pt idx="858">
                  <c:v>7451.41845703125</c:v>
                </c:pt>
                <c:pt idx="859">
                  <c:v>7278.57373046875</c:v>
                </c:pt>
                <c:pt idx="860">
                  <c:v>7384.33935546875</c:v>
                </c:pt>
                <c:pt idx="861">
                  <c:v>7188.63232421875</c:v>
                </c:pt>
                <c:pt idx="862">
                  <c:v>7082.62451171875</c:v>
                </c:pt>
                <c:pt idx="863">
                  <c:v>7183.7294921875</c:v>
                </c:pt>
                <c:pt idx="864">
                  <c:v>7136.45361328125</c:v>
                </c:pt>
                <c:pt idx="865">
                  <c:v>7139.65673828125</c:v>
                </c:pt>
                <c:pt idx="866">
                  <c:v>7169.89599609375</c:v>
                </c:pt>
                <c:pt idx="867">
                  <c:v>7084.12939453125</c:v>
                </c:pt>
                <c:pt idx="868">
                  <c:v>7148.10302734375</c:v>
                </c:pt>
                <c:pt idx="869">
                  <c:v>7121.1640625</c:v>
                </c:pt>
                <c:pt idx="870">
                  <c:v>6998.16748046875</c:v>
                </c:pt>
                <c:pt idx="871">
                  <c:v>7092.5263671875</c:v>
                </c:pt>
                <c:pt idx="872">
                  <c:v>7072.673828125</c:v>
                </c:pt>
                <c:pt idx="873">
                  <c:v>7076.8486328125</c:v>
                </c:pt>
                <c:pt idx="874">
                  <c:v>7165.236328125</c:v>
                </c:pt>
                <c:pt idx="875">
                  <c:v>7106.55322265625</c:v>
                </c:pt>
                <c:pt idx="876">
                  <c:v>7031.75634765625</c:v>
                </c:pt>
                <c:pt idx="877">
                  <c:v>7029.9599609375</c:v>
                </c:pt>
                <c:pt idx="878">
                  <c:v>7003.4091796875</c:v>
                </c:pt>
                <c:pt idx="879">
                  <c:v>7130.67724609375</c:v>
                </c:pt>
                <c:pt idx="880">
                  <c:v>7337.49951171875</c:v>
                </c:pt>
                <c:pt idx="881">
                  <c:v>7355.2646484375</c:v>
                </c:pt>
                <c:pt idx="882">
                  <c:v>7389.62939453125</c:v>
                </c:pt>
                <c:pt idx="883">
                  <c:v>7324.34521484375</c:v>
                </c:pt>
                <c:pt idx="884">
                  <c:v>7370.79638671875</c:v>
                </c:pt>
                <c:pt idx="885">
                  <c:v>7352.837890625</c:v>
                </c:pt>
                <c:pt idx="886">
                  <c:v>7426.27587890625</c:v>
                </c:pt>
                <c:pt idx="887">
                  <c:v>7593.53955078125</c:v>
                </c:pt>
                <c:pt idx="888">
                  <c:v>7698.67333984375</c:v>
                </c:pt>
                <c:pt idx="889">
                  <c:v>7741.53271484375</c:v>
                </c:pt>
                <c:pt idx="890">
                  <c:v>7713.4775390625</c:v>
                </c:pt>
                <c:pt idx="891">
                  <c:v>7744.5908203125</c:v>
                </c:pt>
                <c:pt idx="892">
                  <c:v>7870.5966796875</c:v>
                </c:pt>
                <c:pt idx="893">
                  <c:v>7809.29296875</c:v>
                </c:pt>
                <c:pt idx="894">
                  <c:v>7679.06396484375</c:v>
                </c:pt>
                <c:pt idx="895">
                  <c:v>7660.2802734375</c:v>
                </c:pt>
                <c:pt idx="896">
                  <c:v>7789.7802734375</c:v>
                </c:pt>
                <c:pt idx="897">
                  <c:v>7762.30712890625</c:v>
                </c:pt>
                <c:pt idx="898">
                  <c:v>7756.43408203125</c:v>
                </c:pt>
                <c:pt idx="899">
                  <c:v>7774.29638671875</c:v>
                </c:pt>
                <c:pt idx="900">
                  <c:v>7769.05419921875</c:v>
                </c:pt>
                <c:pt idx="901">
                  <c:v>7841.1337890625</c:v>
                </c:pt>
                <c:pt idx="902">
                  <c:v>7740.173828125</c:v>
                </c:pt>
                <c:pt idx="903">
                  <c:v>7746.7265625</c:v>
                </c:pt>
                <c:pt idx="904">
                  <c:v>7784.44091796875</c:v>
                </c:pt>
                <c:pt idx="905">
                  <c:v>7801.38037109375</c:v>
                </c:pt>
                <c:pt idx="906">
                  <c:v>7757.11376953125</c:v>
                </c:pt>
                <c:pt idx="907">
                  <c:v>7754.4443359375</c:v>
                </c:pt>
                <c:pt idx="908">
                  <c:v>7674.79248046875</c:v>
                </c:pt>
                <c:pt idx="909">
                  <c:v>7540.05029296875</c:v>
                </c:pt>
                <c:pt idx="910">
                  <c:v>7552.2333984375</c:v>
                </c:pt>
                <c:pt idx="911">
                  <c:v>7525.876953125</c:v>
                </c:pt>
                <c:pt idx="912">
                  <c:v>7670.37548828125</c:v>
                </c:pt>
                <c:pt idx="913">
                  <c:v>7728.33056640625</c:v>
                </c:pt>
                <c:pt idx="914">
                  <c:v>7702.556640625</c:v>
                </c:pt>
                <c:pt idx="915">
                  <c:v>7730.80615234375</c:v>
                </c:pt>
                <c:pt idx="916">
                  <c:v>7705.03173828125</c:v>
                </c:pt>
                <c:pt idx="917">
                  <c:v>7715.51611328125</c:v>
                </c:pt>
                <c:pt idx="918">
                  <c:v>7684.7431640625</c:v>
                </c:pt>
                <c:pt idx="919">
                  <c:v>7635.2333984375</c:v>
                </c:pt>
                <c:pt idx="920">
                  <c:v>7630.8173828125</c:v>
                </c:pt>
                <c:pt idx="921">
                  <c:v>7609.36279296875</c:v>
                </c:pt>
                <c:pt idx="922">
                  <c:v>7603.392578125</c:v>
                </c:pt>
                <c:pt idx="923">
                  <c:v>7601.49951171875</c:v>
                </c:pt>
                <c:pt idx="924">
                  <c:v>7691.5380859375</c:v>
                </c:pt>
                <c:pt idx="925">
                  <c:v>7722.65185546875</c:v>
                </c:pt>
                <c:pt idx="926">
                  <c:v>7658.8720703125</c:v>
                </c:pt>
                <c:pt idx="927">
                  <c:v>7672.123046875</c:v>
                </c:pt>
                <c:pt idx="928">
                  <c:v>7636.83544921875</c:v>
                </c:pt>
                <c:pt idx="929">
                  <c:v>7644.94140625</c:v>
                </c:pt>
                <c:pt idx="930">
                  <c:v>7595.529296875</c:v>
                </c:pt>
                <c:pt idx="931">
                  <c:v>7572.1826171875</c:v>
                </c:pt>
                <c:pt idx="932">
                  <c:v>7629.84619140625</c:v>
                </c:pt>
                <c:pt idx="933">
                  <c:v>7726.486328125</c:v>
                </c:pt>
                <c:pt idx="934">
                  <c:v>7797.06103515625</c:v>
                </c:pt>
                <c:pt idx="935">
                  <c:v>7838.26953125</c:v>
                </c:pt>
                <c:pt idx="936">
                  <c:v>7832.9306640625</c:v>
                </c:pt>
                <c:pt idx="937">
                  <c:v>7878.36279296875</c:v>
                </c:pt>
                <c:pt idx="938">
                  <c:v>7895.0595703125</c:v>
                </c:pt>
                <c:pt idx="939">
                  <c:v>8234.876953125</c:v>
                </c:pt>
                <c:pt idx="940">
                  <c:v>8204.2001953125</c:v>
                </c:pt>
                <c:pt idx="941">
                  <c:v>8166.92333984375</c:v>
                </c:pt>
                <c:pt idx="942">
                  <c:v>8283.318359375</c:v>
                </c:pt>
                <c:pt idx="943">
                  <c:v>8480.91796875</c:v>
                </c:pt>
                <c:pt idx="944">
                  <c:v>8962.953125</c:v>
                </c:pt>
                <c:pt idx="945">
                  <c:v>8960.57421875</c:v>
                </c:pt>
                <c:pt idx="946">
                  <c:v>8917.8115234375</c:v>
                </c:pt>
                <c:pt idx="947">
                  <c:v>8948.876953125</c:v>
                </c:pt>
                <c:pt idx="948">
                  <c:v>9034.4013671875</c:v>
                </c:pt>
                <c:pt idx="949">
                  <c:v>9331.5048828125</c:v>
                </c:pt>
                <c:pt idx="950">
                  <c:v>9402.8076171875</c:v>
                </c:pt>
                <c:pt idx="951">
                  <c:v>9400.8662109375</c:v>
                </c:pt>
                <c:pt idx="952">
                  <c:v>9403.1474609375</c:v>
                </c:pt>
                <c:pt idx="953">
                  <c:v>9362.083984375</c:v>
                </c:pt>
                <c:pt idx="954">
                  <c:v>9263.6484375</c:v>
                </c:pt>
                <c:pt idx="955">
                  <c:v>9264.23046875</c:v>
                </c:pt>
                <c:pt idx="956">
                  <c:v>9237.09765625</c:v>
                </c:pt>
                <c:pt idx="957">
                  <c:v>9172.15234375</c:v>
                </c:pt>
                <c:pt idx="958">
                  <c:v>9124.9736328125</c:v>
                </c:pt>
                <c:pt idx="959">
                  <c:v>9039.9345703125</c:v>
                </c:pt>
                <c:pt idx="960">
                  <c:v>9099.7822265625</c:v>
                </c:pt>
                <c:pt idx="961">
                  <c:v>9071.8251953125</c:v>
                </c:pt>
                <c:pt idx="962">
                  <c:v>8894.9736328125</c:v>
                </c:pt>
                <c:pt idx="963">
                  <c:v>8818.73046875</c:v>
                </c:pt>
                <c:pt idx="964">
                  <c:v>8677.4658203125</c:v>
                </c:pt>
                <c:pt idx="965">
                  <c:v>8860.765625</c:v>
                </c:pt>
                <c:pt idx="966">
                  <c:v>8857.025390625</c:v>
                </c:pt>
                <c:pt idx="967">
                  <c:v>8562.4375</c:v>
                </c:pt>
                <c:pt idx="968">
                  <c:v>8440.369140625</c:v>
                </c:pt>
                <c:pt idx="969">
                  <c:v>8572.6259765625</c:v>
                </c:pt>
                <c:pt idx="970">
                  <c:v>8469.5078125</c:v>
                </c:pt>
                <c:pt idx="971">
                  <c:v>8444.50390625</c:v>
                </c:pt>
                <c:pt idx="972">
                  <c:v>8400.205078125</c:v>
                </c:pt>
                <c:pt idx="973">
                  <c:v>8677.8603515625</c:v>
                </c:pt>
                <c:pt idx="974">
                  <c:v>8560.9609375</c:v>
                </c:pt>
                <c:pt idx="975">
                  <c:v>8707.2939453125</c:v>
                </c:pt>
                <c:pt idx="976">
                  <c:v>8733.283203125</c:v>
                </c:pt>
                <c:pt idx="977">
                  <c:v>8665.3095703125</c:v>
                </c:pt>
                <c:pt idx="978">
                  <c:v>8512.9697265625</c:v>
                </c:pt>
                <c:pt idx="979">
                  <c:v>8665.505859375</c:v>
                </c:pt>
                <c:pt idx="980">
                  <c:v>8855.3515625</c:v>
                </c:pt>
                <c:pt idx="981">
                  <c:v>8827.8369140625</c:v>
                </c:pt>
                <c:pt idx="982">
                  <c:v>8747.3115234375</c:v>
                </c:pt>
                <c:pt idx="983">
                  <c:v>8761.3388671875</c:v>
                </c:pt>
                <c:pt idx="984">
                  <c:v>8845.1630859375</c:v>
                </c:pt>
                <c:pt idx="985">
                  <c:v>8906.146484375</c:v>
                </c:pt>
                <c:pt idx="986">
                  <c:v>8954.53125</c:v>
                </c:pt>
                <c:pt idx="987">
                  <c:v>8943.3583984375</c:v>
                </c:pt>
                <c:pt idx="988">
                  <c:v>8893.595703125</c:v>
                </c:pt>
                <c:pt idx="989">
                  <c:v>8891.578125</c:v>
                </c:pt>
                <c:pt idx="990">
                  <c:v>8855.0068359375</c:v>
                </c:pt>
                <c:pt idx="991">
                  <c:v>8849.248046875</c:v>
                </c:pt>
                <c:pt idx="992">
                  <c:v>8843.9326171875</c:v>
                </c:pt>
                <c:pt idx="993">
                  <c:v>8784.3251953125</c:v>
                </c:pt>
                <c:pt idx="994">
                  <c:v>8778.8125</c:v>
                </c:pt>
                <c:pt idx="995">
                  <c:v>8829.166015625</c:v>
                </c:pt>
                <c:pt idx="996">
                  <c:v>8827.8857421875</c:v>
                </c:pt>
                <c:pt idx="997">
                  <c:v>8820.20703125</c:v>
                </c:pt>
                <c:pt idx="998">
                  <c:v>8815.8759765625</c:v>
                </c:pt>
                <c:pt idx="999">
                  <c:v>8693.462890625</c:v>
                </c:pt>
                <c:pt idx="1000">
                  <c:v>8709.3125</c:v>
                </c:pt>
                <c:pt idx="1001">
                  <c:v>8636.0712890625</c:v>
                </c:pt>
                <c:pt idx="1002">
                  <c:v>8685.8828125</c:v>
                </c:pt>
                <c:pt idx="1003">
                  <c:v>8580.5498046875</c:v>
                </c:pt>
                <c:pt idx="1004">
                  <c:v>8645.275390625</c:v>
                </c:pt>
                <c:pt idx="1005">
                  <c:v>8635.875</c:v>
                </c:pt>
                <c:pt idx="1006">
                  <c:v>8676.4814453125</c:v>
                </c:pt>
                <c:pt idx="1007">
                  <c:v>8681.5517578125</c:v>
                </c:pt>
                <c:pt idx="1008">
                  <c:v>8542.1572265625</c:v>
                </c:pt>
                <c:pt idx="1009">
                  <c:v>8506.2763671875</c:v>
                </c:pt>
                <c:pt idx="1010">
                  <c:v>8463.5029296875</c:v>
                </c:pt>
                <c:pt idx="1011">
                  <c:v>8517.646484375</c:v>
                </c:pt>
                <c:pt idx="1012">
                  <c:v>8503.1259765625</c:v>
                </c:pt>
                <c:pt idx="1013">
                  <c:v>8584.5380859375</c:v>
                </c:pt>
                <c:pt idx="1014">
                  <c:v>8585.7177734375</c:v>
                </c:pt>
                <c:pt idx="1015">
                  <c:v>8575.283203125</c:v>
                </c:pt>
                <c:pt idx="1016">
                  <c:v>8551.263671875</c:v>
                </c:pt>
                <c:pt idx="1017">
                  <c:v>8551.263671875</c:v>
                </c:pt>
                <c:pt idx="1018">
                  <c:v>8564.50390625</c:v>
                </c:pt>
                <c:pt idx="1019">
                  <c:v>8584.5380859375</c:v>
                </c:pt>
                <c:pt idx="1020">
                  <c:v>8608.212890625</c:v>
                </c:pt>
                <c:pt idx="1021">
                  <c:v>8837.779296875</c:v>
                </c:pt>
                <c:pt idx="1022">
                  <c:v>8719.0087890625</c:v>
                </c:pt>
                <c:pt idx="1023">
                  <c:v>8698.4345703125</c:v>
                </c:pt>
                <c:pt idx="1024">
                  <c:v>8658.171875</c:v>
                </c:pt>
                <c:pt idx="1025">
                  <c:v>8795.44921875</c:v>
                </c:pt>
                <c:pt idx="1026">
                  <c:v>8698.1884765625</c:v>
                </c:pt>
                <c:pt idx="1027">
                  <c:v>8533.9384765625</c:v>
                </c:pt>
                <c:pt idx="1028">
                  <c:v>8484.5693359375</c:v>
                </c:pt>
                <c:pt idx="1029">
                  <c:v>8486.341796875</c:v>
                </c:pt>
                <c:pt idx="1030">
                  <c:v>8454.2490234375</c:v>
                </c:pt>
                <c:pt idx="1031">
                  <c:v>8443.173828125</c:v>
                </c:pt>
                <c:pt idx="1032">
                  <c:v>8340.9423828125</c:v>
                </c:pt>
                <c:pt idx="1033">
                  <c:v>8247.2744140625</c:v>
                </c:pt>
                <c:pt idx="1034">
                  <c:v>8198.9404296875</c:v>
                </c:pt>
                <c:pt idx="1035">
                  <c:v>8206.470703125</c:v>
                </c:pt>
                <c:pt idx="1036">
                  <c:v>7875.41015625</c:v>
                </c:pt>
                <c:pt idx="1037">
                  <c:v>7876.68994140625</c:v>
                </c:pt>
                <c:pt idx="1038">
                  <c:v>8044.09033203125</c:v>
                </c:pt>
                <c:pt idx="1039">
                  <c:v>8096.26513671875</c:v>
                </c:pt>
                <c:pt idx="1040">
                  <c:v>8014.45947265625</c:v>
                </c:pt>
                <c:pt idx="1041">
                  <c:v>7948.306640625</c:v>
                </c:pt>
                <c:pt idx="1042">
                  <c:v>8036.46142578125</c:v>
                </c:pt>
                <c:pt idx="1043">
                  <c:v>8043.25341796875</c:v>
                </c:pt>
                <c:pt idx="1044">
                  <c:v>7882.498046875</c:v>
                </c:pt>
                <c:pt idx="1045">
                  <c:v>7899.92236328125</c:v>
                </c:pt>
                <c:pt idx="1046">
                  <c:v>7696.83642578125</c:v>
                </c:pt>
                <c:pt idx="1047">
                  <c:v>7752.75146484375</c:v>
                </c:pt>
                <c:pt idx="1048">
                  <c:v>7866.2060546875</c:v>
                </c:pt>
                <c:pt idx="1049">
                  <c:v>7835.541015625</c:v>
                </c:pt>
                <c:pt idx="1050">
                  <c:v>7817.919921875</c:v>
                </c:pt>
                <c:pt idx="1051">
                  <c:v>8062.94189453125</c:v>
                </c:pt>
                <c:pt idx="1052">
                  <c:v>8420.0400390625</c:v>
                </c:pt>
                <c:pt idx="1053">
                  <c:v>8402.419921875</c:v>
                </c:pt>
                <c:pt idx="1054">
                  <c:v>8178.66064453125</c:v>
                </c:pt>
                <c:pt idx="1055">
                  <c:v>7984.82861328125</c:v>
                </c:pt>
                <c:pt idx="1056">
                  <c:v>7991.0302734375</c:v>
                </c:pt>
                <c:pt idx="1057">
                  <c:v>7997.42919921875</c:v>
                </c:pt>
                <c:pt idx="1058">
                  <c:v>7984.287109375</c:v>
                </c:pt>
                <c:pt idx="1059">
                  <c:v>7927.3876953125</c:v>
                </c:pt>
                <c:pt idx="1060">
                  <c:v>7986.9453125</c:v>
                </c:pt>
                <c:pt idx="1061">
                  <c:v>8025.09130859375</c:v>
                </c:pt>
                <c:pt idx="1062">
                  <c:v>8214.3955078125</c:v>
                </c:pt>
                <c:pt idx="1063">
                  <c:v>8130.9658203125</c:v>
                </c:pt>
                <c:pt idx="1064">
                  <c:v>7946.87890625</c:v>
                </c:pt>
                <c:pt idx="1065">
                  <c:v>7976.90380859375</c:v>
                </c:pt>
                <c:pt idx="1066">
                  <c:v>8036.412109375</c:v>
                </c:pt>
                <c:pt idx="1067">
                  <c:v>7973.4091796875</c:v>
                </c:pt>
                <c:pt idx="1068">
                  <c:v>7746.79541015625</c:v>
                </c:pt>
                <c:pt idx="1069">
                  <c:v>7758.70703125</c:v>
                </c:pt>
                <c:pt idx="1070">
                  <c:v>7820.2333984375</c:v>
                </c:pt>
                <c:pt idx="1071">
                  <c:v>7787.35400390625</c:v>
                </c:pt>
                <c:pt idx="1072">
                  <c:v>7702.98876953125</c:v>
                </c:pt>
                <c:pt idx="1073">
                  <c:v>7628.9111328125</c:v>
                </c:pt>
                <c:pt idx="1074">
                  <c:v>7592.63525390625</c:v>
                </c:pt>
                <c:pt idx="1075">
                  <c:v>7702.05419921875</c:v>
                </c:pt>
                <c:pt idx="1076">
                  <c:v>7628.8623046875</c:v>
                </c:pt>
                <c:pt idx="1077">
                  <c:v>7641.1181640625</c:v>
                </c:pt>
                <c:pt idx="1078">
                  <c:v>7499.3125</c:v>
                </c:pt>
                <c:pt idx="1079">
                  <c:v>7386.94091796875</c:v>
                </c:pt>
                <c:pt idx="1080">
                  <c:v>7500.8876953125</c:v>
                </c:pt>
                <c:pt idx="1081">
                  <c:v>7502.31494140625</c:v>
                </c:pt>
                <c:pt idx="1082">
                  <c:v>7553.25830078125</c:v>
                </c:pt>
                <c:pt idx="1083">
                  <c:v>7761.7587890625</c:v>
                </c:pt>
                <c:pt idx="1084">
                  <c:v>7591.65087890625</c:v>
                </c:pt>
                <c:pt idx="1085">
                  <c:v>7403.82373046875</c:v>
                </c:pt>
                <c:pt idx="1086">
                  <c:v>7384.6767578125</c:v>
                </c:pt>
                <c:pt idx="1087">
                  <c:v>7451.125</c:v>
                </c:pt>
                <c:pt idx="1088">
                  <c:v>7439.853515625</c:v>
                </c:pt>
                <c:pt idx="1089">
                  <c:v>7383.15087890625</c:v>
                </c:pt>
                <c:pt idx="1090">
                  <c:v>7410.517578125</c:v>
                </c:pt>
                <c:pt idx="1091">
                  <c:v>7416.818359375</c:v>
                </c:pt>
                <c:pt idx="1092">
                  <c:v>7353.17529296875</c:v>
                </c:pt>
                <c:pt idx="1093">
                  <c:v>7375.66943359375</c:v>
                </c:pt>
                <c:pt idx="1094">
                  <c:v>7395.6533203125</c:v>
                </c:pt>
                <c:pt idx="1095">
                  <c:v>7255.27490234375</c:v>
                </c:pt>
                <c:pt idx="1096">
                  <c:v>7261.3779296875</c:v>
                </c:pt>
                <c:pt idx="1097">
                  <c:v>7193.55126953125</c:v>
                </c:pt>
                <c:pt idx="1098">
                  <c:v>7162.0009765625</c:v>
                </c:pt>
                <c:pt idx="1099">
                  <c:v>7087.67724609375</c:v>
                </c:pt>
                <c:pt idx="1100">
                  <c:v>7201.525390625</c:v>
                </c:pt>
                <c:pt idx="1101">
                  <c:v>7092.0576171875</c:v>
                </c:pt>
                <c:pt idx="1102">
                  <c:v>7138.375</c:v>
                </c:pt>
                <c:pt idx="1103">
                  <c:v>7084.97021484375</c:v>
                </c:pt>
                <c:pt idx="1104">
                  <c:v>7154.96240234375</c:v>
                </c:pt>
                <c:pt idx="1105">
                  <c:v>7234.01123046875</c:v>
                </c:pt>
                <c:pt idx="1106">
                  <c:v>7144.52734375</c:v>
                </c:pt>
                <c:pt idx="1107">
                  <c:v>7098.505859375</c:v>
                </c:pt>
                <c:pt idx="1108">
                  <c:v>7105.49560546875</c:v>
                </c:pt>
                <c:pt idx="1109">
                  <c:v>7049.77734375</c:v>
                </c:pt>
                <c:pt idx="1110">
                  <c:v>7067.34912109375</c:v>
                </c:pt>
                <c:pt idx="1111">
                  <c:v>7366.21875</c:v>
                </c:pt>
                <c:pt idx="1112">
                  <c:v>7423.31494140625</c:v>
                </c:pt>
                <c:pt idx="1113">
                  <c:v>7356.423828125</c:v>
                </c:pt>
                <c:pt idx="1114">
                  <c:v>7371.9775390625</c:v>
                </c:pt>
                <c:pt idx="1115">
                  <c:v>7334.56982421875</c:v>
                </c:pt>
                <c:pt idx="1116">
                  <c:v>7372.9619140625</c:v>
                </c:pt>
                <c:pt idx="1117">
                  <c:v>7266.2509765625</c:v>
                </c:pt>
                <c:pt idx="1118">
                  <c:v>7436.5556640625</c:v>
                </c:pt>
                <c:pt idx="1119">
                  <c:v>7405.841796875</c:v>
                </c:pt>
                <c:pt idx="1120">
                  <c:v>7335.111328125</c:v>
                </c:pt>
                <c:pt idx="1121">
                  <c:v>7429.51708984375</c:v>
                </c:pt>
                <c:pt idx="1122">
                  <c:v>7447.63037109375</c:v>
                </c:pt>
                <c:pt idx="1123">
                  <c:v>7479.72265625</c:v>
                </c:pt>
                <c:pt idx="1124">
                  <c:v>7339.44287109375</c:v>
                </c:pt>
                <c:pt idx="1125">
                  <c:v>7326.79296875</c:v>
                </c:pt>
                <c:pt idx="1126">
                  <c:v>7218.85107421875</c:v>
                </c:pt>
                <c:pt idx="1127">
                  <c:v>7265.857421875</c:v>
                </c:pt>
                <c:pt idx="1128">
                  <c:v>7370.89453125</c:v>
                </c:pt>
                <c:pt idx="1129">
                  <c:v>7479.1806640625</c:v>
                </c:pt>
                <c:pt idx="1130">
                  <c:v>7465.44873046875</c:v>
                </c:pt>
                <c:pt idx="1131">
                  <c:v>7457.91796875</c:v>
                </c:pt>
                <c:pt idx="1132">
                  <c:v>7467.81103515625</c:v>
                </c:pt>
                <c:pt idx="1133">
                  <c:v>7465.94091796875</c:v>
                </c:pt>
                <c:pt idx="1134">
                  <c:v>7446.25244140625</c:v>
                </c:pt>
                <c:pt idx="1135">
                  <c:v>7469.53369140625</c:v>
                </c:pt>
                <c:pt idx="1136">
                  <c:v>7452.9462890625</c:v>
                </c:pt>
                <c:pt idx="1137">
                  <c:v>7468.20458984375</c:v>
                </c:pt>
                <c:pt idx="1138">
                  <c:v>7372.86328125</c:v>
                </c:pt>
                <c:pt idx="1139">
                  <c:v>7459.0498046875</c:v>
                </c:pt>
                <c:pt idx="1140">
                  <c:v>7350.1240234375</c:v>
                </c:pt>
                <c:pt idx="1141">
                  <c:v>7382.75732421875</c:v>
                </c:pt>
                <c:pt idx="1142">
                  <c:v>7351.05859375</c:v>
                </c:pt>
                <c:pt idx="1143">
                  <c:v>7378.37646484375</c:v>
                </c:pt>
                <c:pt idx="1144">
                  <c:v>7328.318359375</c:v>
                </c:pt>
                <c:pt idx="1145">
                  <c:v>7295.68505859375</c:v>
                </c:pt>
                <c:pt idx="1146">
                  <c:v>7247.990234375</c:v>
                </c:pt>
                <c:pt idx="1147">
                  <c:v>7238.3427734375</c:v>
                </c:pt>
                <c:pt idx="1148">
                  <c:v>7314.24169921875</c:v>
                </c:pt>
                <c:pt idx="1149">
                  <c:v>7370.6982421875</c:v>
                </c:pt>
                <c:pt idx="1150">
                  <c:v>7232.18994140625</c:v>
                </c:pt>
                <c:pt idx="1151">
                  <c:v>7217.3251953125</c:v>
                </c:pt>
                <c:pt idx="1152">
                  <c:v>7132.763671875</c:v>
                </c:pt>
                <c:pt idx="1153">
                  <c:v>7078.916015625</c:v>
                </c:pt>
                <c:pt idx="1154">
                  <c:v>7049.53125</c:v>
                </c:pt>
                <c:pt idx="1155">
                  <c:v>7116.81640625</c:v>
                </c:pt>
                <c:pt idx="1156">
                  <c:v>7061.49169921875</c:v>
                </c:pt>
                <c:pt idx="1157">
                  <c:v>7118.14501953125</c:v>
                </c:pt>
                <c:pt idx="1158">
                  <c:v>7084.42822265625</c:v>
                </c:pt>
                <c:pt idx="1159">
                  <c:v>7052.3857421875</c:v>
                </c:pt>
                <c:pt idx="1160">
                  <c:v>7086.20068359375</c:v>
                </c:pt>
                <c:pt idx="1161">
                  <c:v>7087.82470703125</c:v>
                </c:pt>
                <c:pt idx="1162">
                  <c:v>7161.95166015625</c:v>
                </c:pt>
                <c:pt idx="1163">
                  <c:v>7161.95166015625</c:v>
                </c:pt>
                <c:pt idx="1164">
                  <c:v>7326.9404296875</c:v>
                </c:pt>
                <c:pt idx="1165">
                  <c:v>7331.02587890625</c:v>
                </c:pt>
                <c:pt idx="1166">
                  <c:v>7376.3583984375</c:v>
                </c:pt>
                <c:pt idx="1167">
                  <c:v>7328.26953125</c:v>
                </c:pt>
                <c:pt idx="1168">
                  <c:v>7464.80859375</c:v>
                </c:pt>
                <c:pt idx="1169">
                  <c:v>7439.41064453125</c:v>
                </c:pt>
                <c:pt idx="1170">
                  <c:v>7413.17578125</c:v>
                </c:pt>
                <c:pt idx="1171">
                  <c:v>7671.291015625</c:v>
                </c:pt>
                <c:pt idx="1172">
                  <c:v>7587.91015625</c:v>
                </c:pt>
                <c:pt idx="1173">
                  <c:v>7469.63232421875</c:v>
                </c:pt>
                <c:pt idx="1174">
                  <c:v>7589.6328125</c:v>
                </c:pt>
                <c:pt idx="1175">
                  <c:v>7677.49267578125</c:v>
                </c:pt>
                <c:pt idx="1176">
                  <c:v>7701.41357421875</c:v>
                </c:pt>
                <c:pt idx="1177">
                  <c:v>7628.6162109375</c:v>
                </c:pt>
                <c:pt idx="1178">
                  <c:v>7671.291015625</c:v>
                </c:pt>
                <c:pt idx="1179">
                  <c:v>7619.65771484375</c:v>
                </c:pt>
                <c:pt idx="1180">
                  <c:v>7741.0859375</c:v>
                </c:pt>
                <c:pt idx="1181">
                  <c:v>7687.68115234375</c:v>
                </c:pt>
                <c:pt idx="1182">
                  <c:v>7767.17333984375</c:v>
                </c:pt>
                <c:pt idx="1183">
                  <c:v>7888.06005859375</c:v>
                </c:pt>
                <c:pt idx="1184">
                  <c:v>7888.06005859375</c:v>
                </c:pt>
                <c:pt idx="1185">
                  <c:v>7983.056640625</c:v>
                </c:pt>
                <c:pt idx="1186">
                  <c:v>8152.7705078125</c:v>
                </c:pt>
                <c:pt idx="1187">
                  <c:v>8465.81640625</c:v>
                </c:pt>
                <c:pt idx="1188">
                  <c:v>8759.46875</c:v>
                </c:pt>
                <c:pt idx="1189">
                  <c:v>8789.3955078125</c:v>
                </c:pt>
                <c:pt idx="1190">
                  <c:v>8747.212890625</c:v>
                </c:pt>
                <c:pt idx="1191">
                  <c:v>8828.8212890625</c:v>
                </c:pt>
                <c:pt idx="1192">
                  <c:v>8678.5498046875</c:v>
                </c:pt>
                <c:pt idx="1193">
                  <c:v>8804.505859375</c:v>
                </c:pt>
                <c:pt idx="1194">
                  <c:v>8711.1337890625</c:v>
                </c:pt>
                <c:pt idx="1195">
                  <c:v>8788.853515625</c:v>
                </c:pt>
                <c:pt idx="1196">
                  <c:v>8818.484375</c:v>
                </c:pt>
                <c:pt idx="1197">
                  <c:v>8805.6865234375</c:v>
                </c:pt>
                <c:pt idx="1198">
                  <c:v>8808.935546875</c:v>
                </c:pt>
                <c:pt idx="1199">
                  <c:v>8937.2548828125</c:v>
                </c:pt>
                <c:pt idx="1200">
                  <c:v>9118.53515625</c:v>
                </c:pt>
                <c:pt idx="1201">
                  <c:v>8845.9501953125</c:v>
                </c:pt>
                <c:pt idx="1202">
                  <c:v>8757.25</c:v>
                </c:pt>
                <c:pt idx="1203">
                  <c:v>8475.4501953125</c:v>
                </c:pt>
                <c:pt idx="1204">
                  <c:v>8715.349609375</c:v>
                </c:pt>
                <c:pt idx="1205">
                  <c:v>8874.349609375</c:v>
                </c:pt>
                <c:pt idx="1206">
                  <c:v>8774.0498046875</c:v>
                </c:pt>
                <c:pt idx="1207">
                  <c:v>8518.900390625</c:v>
                </c:pt>
                <c:pt idx="1208">
                  <c:v>8542.75</c:v>
                </c:pt>
                <c:pt idx="1209">
                  <c:v>8500</c:v>
                </c:pt>
                <c:pt idx="1210">
                  <c:v>8535.599609375</c:v>
                </c:pt>
                <c:pt idx="1211">
                  <c:v>8584.2001953125</c:v>
                </c:pt>
                <c:pt idx="1212">
                  <c:v>8517.75</c:v>
                </c:pt>
                <c:pt idx="1213">
                  <c:v>8433.25</c:v>
                </c:pt>
                <c:pt idx="1214">
                  <c:v>8318.599609375</c:v>
                </c:pt>
                <c:pt idx="1215">
                  <c:v>8379.2001953125</c:v>
                </c:pt>
                <c:pt idx="1216">
                  <c:v>8201.5498046875</c:v>
                </c:pt>
                <c:pt idx="1217">
                  <c:v>8191.35009765625</c:v>
                </c:pt>
                <c:pt idx="1218">
                  <c:v>8301.150390625</c:v>
                </c:pt>
                <c:pt idx="1219">
                  <c:v>8351.650390625</c:v>
                </c:pt>
                <c:pt idx="1220">
                  <c:v>8355</c:v>
                </c:pt>
                <c:pt idx="1221">
                  <c:v>8213</c:v>
                </c:pt>
                <c:pt idx="1222">
                  <c:v>8065</c:v>
                </c:pt>
                <c:pt idx="1223">
                  <c:v>8082.9501953125</c:v>
                </c:pt>
                <c:pt idx="1224">
                  <c:v>8030.14990234375</c:v>
                </c:pt>
                <c:pt idx="1225">
                  <c:v>8152.7001953125</c:v>
                </c:pt>
                <c:pt idx="1226">
                  <c:v>8111.5</c:v>
                </c:pt>
                <c:pt idx="1227">
                  <c:v>8174.75</c:v>
                </c:pt>
                <c:pt idx="1228">
                  <c:v>8250</c:v>
                </c:pt>
                <c:pt idx="1229">
                  <c:v>8197</c:v>
                </c:pt>
                <c:pt idx="1230">
                  <c:v>8189</c:v>
                </c:pt>
                <c:pt idx="1231">
                  <c:v>8133.39990234375</c:v>
                </c:pt>
                <c:pt idx="1232">
                  <c:v>8198.5</c:v>
                </c:pt>
                <c:pt idx="1233">
                  <c:v>8324.25</c:v>
                </c:pt>
                <c:pt idx="1234">
                  <c:v>8413.349609375</c:v>
                </c:pt>
              </c:numCache>
            </c:numRef>
          </c:val>
          <c:smooth val="0"/>
          <c:extLst>
            <c:ext xmlns:c16="http://schemas.microsoft.com/office/drawing/2014/chart" uri="{C3380CC4-5D6E-409C-BE32-E72D297353CC}">
              <c16:uniqueId val="{00000000-318B-4A78-84E2-CA957E07151D}"/>
            </c:ext>
          </c:extLst>
        </c:ser>
        <c:dLbls>
          <c:showLegendKey val="0"/>
          <c:showVal val="0"/>
          <c:showCatName val="0"/>
          <c:showSerName val="0"/>
          <c:showPercent val="0"/>
          <c:showBubbleSize val="0"/>
        </c:dLbls>
        <c:smooth val="0"/>
        <c:axId val="1456317375"/>
        <c:axId val="1521650735"/>
      </c:lineChart>
      <c:dateAx>
        <c:axId val="1456317375"/>
        <c:scaling>
          <c:orientation val="minMax"/>
        </c:scaling>
        <c:delete val="0"/>
        <c:axPos val="b"/>
        <c:numFmt formatCode="yyyy/mm/dd"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650735"/>
        <c:crosses val="autoZero"/>
        <c:auto val="1"/>
        <c:lblOffset val="100"/>
        <c:baseTimeUnit val="days"/>
      </c:dateAx>
      <c:valAx>
        <c:axId val="152165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3173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lineChart>
        <c:grouping val="standard"/>
        <c:varyColors val="0"/>
        <c:ser>
          <c:idx val="0"/>
          <c:order val="0"/>
          <c:tx>
            <c:strRef>
              <c:f>'OPP Data'!$Q$3</c:f>
              <c:strCache>
                <c:ptCount val="1"/>
                <c:pt idx="0">
                  <c:v>Adj Close</c:v>
                </c:pt>
              </c:strCache>
            </c:strRef>
          </c:tx>
          <c:spPr>
            <a:ln w="28575" cap="rnd">
              <a:solidFill>
                <a:schemeClr val="accent2"/>
              </a:solidFill>
              <a:round/>
            </a:ln>
            <a:effectLst/>
          </c:spPr>
          <c:marker>
            <c:symbol val="none"/>
          </c:marker>
          <c:cat>
            <c:numRef>
              <c:f>'OPP Data'!$P$4:$P$1238</c:f>
              <c:numCache>
                <c:formatCode>yyyy/mm/dd</c:formatCode>
                <c:ptCount val="1235"/>
                <c:pt idx="0">
                  <c:v>44446</c:v>
                </c:pt>
                <c:pt idx="1">
                  <c:v>44447</c:v>
                </c:pt>
                <c:pt idx="2">
                  <c:v>44448</c:v>
                </c:pt>
                <c:pt idx="3">
                  <c:v>44452</c:v>
                </c:pt>
                <c:pt idx="4">
                  <c:v>44453</c:v>
                </c:pt>
                <c:pt idx="5">
                  <c:v>44454</c:v>
                </c:pt>
                <c:pt idx="6">
                  <c:v>44455</c:v>
                </c:pt>
                <c:pt idx="7">
                  <c:v>44456</c:v>
                </c:pt>
                <c:pt idx="8">
                  <c:v>44459</c:v>
                </c:pt>
                <c:pt idx="9">
                  <c:v>44460</c:v>
                </c:pt>
                <c:pt idx="10">
                  <c:v>44461</c:v>
                </c:pt>
                <c:pt idx="11">
                  <c:v>44462</c:v>
                </c:pt>
                <c:pt idx="12">
                  <c:v>44463</c:v>
                </c:pt>
                <c:pt idx="13">
                  <c:v>44466</c:v>
                </c:pt>
                <c:pt idx="14">
                  <c:v>44467</c:v>
                </c:pt>
                <c:pt idx="15">
                  <c:v>44468</c:v>
                </c:pt>
                <c:pt idx="16">
                  <c:v>44469</c:v>
                </c:pt>
                <c:pt idx="17">
                  <c:v>44470</c:v>
                </c:pt>
                <c:pt idx="18">
                  <c:v>44473</c:v>
                </c:pt>
                <c:pt idx="19">
                  <c:v>44474</c:v>
                </c:pt>
                <c:pt idx="20">
                  <c:v>44475</c:v>
                </c:pt>
                <c:pt idx="21">
                  <c:v>44476</c:v>
                </c:pt>
                <c:pt idx="22">
                  <c:v>44477</c:v>
                </c:pt>
                <c:pt idx="23">
                  <c:v>44480</c:v>
                </c:pt>
                <c:pt idx="24">
                  <c:v>44481</c:v>
                </c:pt>
                <c:pt idx="25">
                  <c:v>44482</c:v>
                </c:pt>
                <c:pt idx="26">
                  <c:v>44483</c:v>
                </c:pt>
                <c:pt idx="27">
                  <c:v>44487</c:v>
                </c:pt>
                <c:pt idx="28">
                  <c:v>44488</c:v>
                </c:pt>
                <c:pt idx="29">
                  <c:v>44489</c:v>
                </c:pt>
                <c:pt idx="30">
                  <c:v>44490</c:v>
                </c:pt>
                <c:pt idx="31">
                  <c:v>44491</c:v>
                </c:pt>
                <c:pt idx="32">
                  <c:v>44494</c:v>
                </c:pt>
                <c:pt idx="33">
                  <c:v>44495</c:v>
                </c:pt>
                <c:pt idx="34">
                  <c:v>44496</c:v>
                </c:pt>
                <c:pt idx="35">
                  <c:v>44497</c:v>
                </c:pt>
                <c:pt idx="36">
                  <c:v>44498</c:v>
                </c:pt>
                <c:pt idx="37">
                  <c:v>44501</c:v>
                </c:pt>
                <c:pt idx="38">
                  <c:v>44502</c:v>
                </c:pt>
                <c:pt idx="39">
                  <c:v>44503</c:v>
                </c:pt>
                <c:pt idx="40">
                  <c:v>44504</c:v>
                </c:pt>
                <c:pt idx="41">
                  <c:v>44508</c:v>
                </c:pt>
                <c:pt idx="42">
                  <c:v>44509</c:v>
                </c:pt>
                <c:pt idx="43">
                  <c:v>44510</c:v>
                </c:pt>
                <c:pt idx="44">
                  <c:v>44511</c:v>
                </c:pt>
                <c:pt idx="45">
                  <c:v>44512</c:v>
                </c:pt>
                <c:pt idx="46">
                  <c:v>44515</c:v>
                </c:pt>
                <c:pt idx="47">
                  <c:v>44516</c:v>
                </c:pt>
                <c:pt idx="48">
                  <c:v>44517</c:v>
                </c:pt>
                <c:pt idx="49">
                  <c:v>44518</c:v>
                </c:pt>
                <c:pt idx="50">
                  <c:v>44522</c:v>
                </c:pt>
                <c:pt idx="51">
                  <c:v>44523</c:v>
                </c:pt>
                <c:pt idx="52">
                  <c:v>44524</c:v>
                </c:pt>
                <c:pt idx="53">
                  <c:v>44525</c:v>
                </c:pt>
                <c:pt idx="54">
                  <c:v>44526</c:v>
                </c:pt>
                <c:pt idx="55">
                  <c:v>44529</c:v>
                </c:pt>
                <c:pt idx="56">
                  <c:v>44530</c:v>
                </c:pt>
                <c:pt idx="57">
                  <c:v>44531</c:v>
                </c:pt>
                <c:pt idx="58">
                  <c:v>44532</c:v>
                </c:pt>
                <c:pt idx="59">
                  <c:v>44533</c:v>
                </c:pt>
                <c:pt idx="60">
                  <c:v>44536</c:v>
                </c:pt>
                <c:pt idx="61">
                  <c:v>44537</c:v>
                </c:pt>
                <c:pt idx="62">
                  <c:v>44538</c:v>
                </c:pt>
                <c:pt idx="63">
                  <c:v>44539</c:v>
                </c:pt>
                <c:pt idx="64">
                  <c:v>44540</c:v>
                </c:pt>
                <c:pt idx="65">
                  <c:v>44543</c:v>
                </c:pt>
                <c:pt idx="66">
                  <c:v>44544</c:v>
                </c:pt>
                <c:pt idx="67">
                  <c:v>44545</c:v>
                </c:pt>
                <c:pt idx="68">
                  <c:v>44546</c:v>
                </c:pt>
                <c:pt idx="69">
                  <c:v>44547</c:v>
                </c:pt>
                <c:pt idx="70">
                  <c:v>44550</c:v>
                </c:pt>
                <c:pt idx="71">
                  <c:v>44551</c:v>
                </c:pt>
                <c:pt idx="72">
                  <c:v>44552</c:v>
                </c:pt>
                <c:pt idx="73">
                  <c:v>44553</c:v>
                </c:pt>
                <c:pt idx="74">
                  <c:v>44554</c:v>
                </c:pt>
                <c:pt idx="75">
                  <c:v>44557</c:v>
                </c:pt>
                <c:pt idx="76">
                  <c:v>44558</c:v>
                </c:pt>
                <c:pt idx="77">
                  <c:v>44559</c:v>
                </c:pt>
                <c:pt idx="78">
                  <c:v>44560</c:v>
                </c:pt>
                <c:pt idx="79">
                  <c:v>44561</c:v>
                </c:pt>
                <c:pt idx="80">
                  <c:v>44564</c:v>
                </c:pt>
                <c:pt idx="81">
                  <c:v>44565</c:v>
                </c:pt>
                <c:pt idx="82">
                  <c:v>44566</c:v>
                </c:pt>
                <c:pt idx="83">
                  <c:v>44567</c:v>
                </c:pt>
                <c:pt idx="84">
                  <c:v>44568</c:v>
                </c:pt>
                <c:pt idx="85">
                  <c:v>44571</c:v>
                </c:pt>
                <c:pt idx="86">
                  <c:v>44572</c:v>
                </c:pt>
                <c:pt idx="87">
                  <c:v>44573</c:v>
                </c:pt>
                <c:pt idx="88">
                  <c:v>44574</c:v>
                </c:pt>
                <c:pt idx="89">
                  <c:v>44575</c:v>
                </c:pt>
                <c:pt idx="90">
                  <c:v>44578</c:v>
                </c:pt>
                <c:pt idx="91">
                  <c:v>44579</c:v>
                </c:pt>
                <c:pt idx="92">
                  <c:v>44580</c:v>
                </c:pt>
                <c:pt idx="93">
                  <c:v>44581</c:v>
                </c:pt>
                <c:pt idx="94">
                  <c:v>44582</c:v>
                </c:pt>
                <c:pt idx="95">
                  <c:v>44585</c:v>
                </c:pt>
                <c:pt idx="96">
                  <c:v>44586</c:v>
                </c:pt>
                <c:pt idx="97">
                  <c:v>44588</c:v>
                </c:pt>
                <c:pt idx="98">
                  <c:v>44589</c:v>
                </c:pt>
                <c:pt idx="99">
                  <c:v>44592</c:v>
                </c:pt>
                <c:pt idx="100">
                  <c:v>44593</c:v>
                </c:pt>
                <c:pt idx="101">
                  <c:v>44594</c:v>
                </c:pt>
                <c:pt idx="102">
                  <c:v>44595</c:v>
                </c:pt>
                <c:pt idx="103">
                  <c:v>44596</c:v>
                </c:pt>
                <c:pt idx="104">
                  <c:v>44599</c:v>
                </c:pt>
                <c:pt idx="105">
                  <c:v>44600</c:v>
                </c:pt>
                <c:pt idx="106">
                  <c:v>44601</c:v>
                </c:pt>
                <c:pt idx="107">
                  <c:v>44602</c:v>
                </c:pt>
                <c:pt idx="108">
                  <c:v>44603</c:v>
                </c:pt>
                <c:pt idx="109">
                  <c:v>44606</c:v>
                </c:pt>
                <c:pt idx="110">
                  <c:v>44607</c:v>
                </c:pt>
                <c:pt idx="111">
                  <c:v>44608</c:v>
                </c:pt>
                <c:pt idx="112">
                  <c:v>44609</c:v>
                </c:pt>
                <c:pt idx="113">
                  <c:v>44610</c:v>
                </c:pt>
                <c:pt idx="114">
                  <c:v>44613</c:v>
                </c:pt>
                <c:pt idx="115">
                  <c:v>44614</c:v>
                </c:pt>
                <c:pt idx="116">
                  <c:v>44615</c:v>
                </c:pt>
                <c:pt idx="117">
                  <c:v>44616</c:v>
                </c:pt>
                <c:pt idx="118">
                  <c:v>44617</c:v>
                </c:pt>
                <c:pt idx="119">
                  <c:v>44620</c:v>
                </c:pt>
                <c:pt idx="120">
                  <c:v>44622</c:v>
                </c:pt>
                <c:pt idx="121">
                  <c:v>44623</c:v>
                </c:pt>
                <c:pt idx="122">
                  <c:v>44624</c:v>
                </c:pt>
                <c:pt idx="123">
                  <c:v>44627</c:v>
                </c:pt>
                <c:pt idx="124">
                  <c:v>44628</c:v>
                </c:pt>
                <c:pt idx="125">
                  <c:v>44629</c:v>
                </c:pt>
                <c:pt idx="126">
                  <c:v>44630</c:v>
                </c:pt>
                <c:pt idx="127">
                  <c:v>44631</c:v>
                </c:pt>
                <c:pt idx="128">
                  <c:v>44634</c:v>
                </c:pt>
                <c:pt idx="129">
                  <c:v>44635</c:v>
                </c:pt>
                <c:pt idx="130">
                  <c:v>44636</c:v>
                </c:pt>
                <c:pt idx="131">
                  <c:v>44637</c:v>
                </c:pt>
                <c:pt idx="132">
                  <c:v>44641</c:v>
                </c:pt>
                <c:pt idx="133">
                  <c:v>44642</c:v>
                </c:pt>
                <c:pt idx="134">
                  <c:v>44643</c:v>
                </c:pt>
                <c:pt idx="135">
                  <c:v>44644</c:v>
                </c:pt>
                <c:pt idx="136">
                  <c:v>44645</c:v>
                </c:pt>
                <c:pt idx="137">
                  <c:v>44648</c:v>
                </c:pt>
                <c:pt idx="138">
                  <c:v>44649</c:v>
                </c:pt>
                <c:pt idx="139">
                  <c:v>44650</c:v>
                </c:pt>
                <c:pt idx="140">
                  <c:v>44651</c:v>
                </c:pt>
                <c:pt idx="141">
                  <c:v>44652</c:v>
                </c:pt>
                <c:pt idx="142">
                  <c:v>44655</c:v>
                </c:pt>
                <c:pt idx="143">
                  <c:v>44656</c:v>
                </c:pt>
                <c:pt idx="144">
                  <c:v>44657</c:v>
                </c:pt>
                <c:pt idx="145">
                  <c:v>44658</c:v>
                </c:pt>
                <c:pt idx="146">
                  <c:v>44659</c:v>
                </c:pt>
                <c:pt idx="147">
                  <c:v>44662</c:v>
                </c:pt>
                <c:pt idx="148">
                  <c:v>44663</c:v>
                </c:pt>
                <c:pt idx="149">
                  <c:v>44664</c:v>
                </c:pt>
                <c:pt idx="150">
                  <c:v>44669</c:v>
                </c:pt>
                <c:pt idx="151">
                  <c:v>44670</c:v>
                </c:pt>
                <c:pt idx="152">
                  <c:v>44671</c:v>
                </c:pt>
                <c:pt idx="153">
                  <c:v>44672</c:v>
                </c:pt>
                <c:pt idx="154">
                  <c:v>44673</c:v>
                </c:pt>
                <c:pt idx="155">
                  <c:v>44676</c:v>
                </c:pt>
                <c:pt idx="156">
                  <c:v>44677</c:v>
                </c:pt>
                <c:pt idx="157">
                  <c:v>44678</c:v>
                </c:pt>
                <c:pt idx="158">
                  <c:v>44679</c:v>
                </c:pt>
                <c:pt idx="159">
                  <c:v>44680</c:v>
                </c:pt>
                <c:pt idx="160">
                  <c:v>44683</c:v>
                </c:pt>
                <c:pt idx="161">
                  <c:v>44685</c:v>
                </c:pt>
                <c:pt idx="162">
                  <c:v>44686</c:v>
                </c:pt>
                <c:pt idx="163">
                  <c:v>44687</c:v>
                </c:pt>
                <c:pt idx="164">
                  <c:v>44690</c:v>
                </c:pt>
                <c:pt idx="165">
                  <c:v>44691</c:v>
                </c:pt>
                <c:pt idx="166">
                  <c:v>44692</c:v>
                </c:pt>
                <c:pt idx="167">
                  <c:v>44693</c:v>
                </c:pt>
                <c:pt idx="168">
                  <c:v>44694</c:v>
                </c:pt>
                <c:pt idx="169">
                  <c:v>44697</c:v>
                </c:pt>
                <c:pt idx="170">
                  <c:v>44698</c:v>
                </c:pt>
                <c:pt idx="171">
                  <c:v>44699</c:v>
                </c:pt>
                <c:pt idx="172">
                  <c:v>44700</c:v>
                </c:pt>
                <c:pt idx="173">
                  <c:v>44701</c:v>
                </c:pt>
                <c:pt idx="174">
                  <c:v>44704</c:v>
                </c:pt>
                <c:pt idx="175">
                  <c:v>44705</c:v>
                </c:pt>
                <c:pt idx="176">
                  <c:v>44706</c:v>
                </c:pt>
                <c:pt idx="177">
                  <c:v>44707</c:v>
                </c:pt>
                <c:pt idx="178">
                  <c:v>44708</c:v>
                </c:pt>
                <c:pt idx="179">
                  <c:v>44711</c:v>
                </c:pt>
                <c:pt idx="180">
                  <c:v>44712</c:v>
                </c:pt>
                <c:pt idx="181">
                  <c:v>44713</c:v>
                </c:pt>
                <c:pt idx="182">
                  <c:v>44714</c:v>
                </c:pt>
                <c:pt idx="183">
                  <c:v>44715</c:v>
                </c:pt>
                <c:pt idx="184">
                  <c:v>44718</c:v>
                </c:pt>
                <c:pt idx="185">
                  <c:v>44719</c:v>
                </c:pt>
                <c:pt idx="186">
                  <c:v>44720</c:v>
                </c:pt>
                <c:pt idx="187">
                  <c:v>44721</c:v>
                </c:pt>
                <c:pt idx="188">
                  <c:v>44722</c:v>
                </c:pt>
                <c:pt idx="189">
                  <c:v>44725</c:v>
                </c:pt>
                <c:pt idx="190">
                  <c:v>44726</c:v>
                </c:pt>
                <c:pt idx="191">
                  <c:v>44727</c:v>
                </c:pt>
                <c:pt idx="192">
                  <c:v>44728</c:v>
                </c:pt>
                <c:pt idx="193">
                  <c:v>44729</c:v>
                </c:pt>
                <c:pt idx="194">
                  <c:v>44732</c:v>
                </c:pt>
                <c:pt idx="195">
                  <c:v>44733</c:v>
                </c:pt>
                <c:pt idx="196">
                  <c:v>44734</c:v>
                </c:pt>
                <c:pt idx="197">
                  <c:v>44735</c:v>
                </c:pt>
                <c:pt idx="198">
                  <c:v>44736</c:v>
                </c:pt>
                <c:pt idx="199">
                  <c:v>44739</c:v>
                </c:pt>
                <c:pt idx="200">
                  <c:v>44740</c:v>
                </c:pt>
                <c:pt idx="201">
                  <c:v>44741</c:v>
                </c:pt>
                <c:pt idx="202">
                  <c:v>44742</c:v>
                </c:pt>
                <c:pt idx="203">
                  <c:v>44743</c:v>
                </c:pt>
                <c:pt idx="204">
                  <c:v>44746</c:v>
                </c:pt>
                <c:pt idx="205">
                  <c:v>44747</c:v>
                </c:pt>
                <c:pt idx="206">
                  <c:v>44748</c:v>
                </c:pt>
                <c:pt idx="207">
                  <c:v>44749</c:v>
                </c:pt>
                <c:pt idx="208">
                  <c:v>44750</c:v>
                </c:pt>
                <c:pt idx="209">
                  <c:v>44753</c:v>
                </c:pt>
                <c:pt idx="210">
                  <c:v>44754</c:v>
                </c:pt>
                <c:pt idx="211">
                  <c:v>44755</c:v>
                </c:pt>
                <c:pt idx="212">
                  <c:v>44756</c:v>
                </c:pt>
                <c:pt idx="213">
                  <c:v>44757</c:v>
                </c:pt>
                <c:pt idx="214">
                  <c:v>44760</c:v>
                </c:pt>
                <c:pt idx="215">
                  <c:v>44761</c:v>
                </c:pt>
                <c:pt idx="216">
                  <c:v>44762</c:v>
                </c:pt>
                <c:pt idx="217">
                  <c:v>44763</c:v>
                </c:pt>
                <c:pt idx="218">
                  <c:v>44764</c:v>
                </c:pt>
                <c:pt idx="219">
                  <c:v>44767</c:v>
                </c:pt>
                <c:pt idx="220">
                  <c:v>44768</c:v>
                </c:pt>
                <c:pt idx="221">
                  <c:v>44769</c:v>
                </c:pt>
                <c:pt idx="222">
                  <c:v>44770</c:v>
                </c:pt>
                <c:pt idx="223">
                  <c:v>44771</c:v>
                </c:pt>
                <c:pt idx="224">
                  <c:v>44774</c:v>
                </c:pt>
                <c:pt idx="225">
                  <c:v>44775</c:v>
                </c:pt>
                <c:pt idx="226">
                  <c:v>44776</c:v>
                </c:pt>
                <c:pt idx="227">
                  <c:v>44777</c:v>
                </c:pt>
                <c:pt idx="228">
                  <c:v>44778</c:v>
                </c:pt>
                <c:pt idx="229">
                  <c:v>44781</c:v>
                </c:pt>
                <c:pt idx="230">
                  <c:v>44783</c:v>
                </c:pt>
                <c:pt idx="231">
                  <c:v>44784</c:v>
                </c:pt>
                <c:pt idx="232">
                  <c:v>44785</c:v>
                </c:pt>
                <c:pt idx="233">
                  <c:v>44789</c:v>
                </c:pt>
                <c:pt idx="234">
                  <c:v>44790</c:v>
                </c:pt>
                <c:pt idx="235">
                  <c:v>44791</c:v>
                </c:pt>
                <c:pt idx="236">
                  <c:v>44792</c:v>
                </c:pt>
                <c:pt idx="237">
                  <c:v>44795</c:v>
                </c:pt>
                <c:pt idx="238">
                  <c:v>44796</c:v>
                </c:pt>
                <c:pt idx="239">
                  <c:v>44797</c:v>
                </c:pt>
                <c:pt idx="240">
                  <c:v>44798</c:v>
                </c:pt>
                <c:pt idx="241">
                  <c:v>44799</c:v>
                </c:pt>
                <c:pt idx="242">
                  <c:v>44802</c:v>
                </c:pt>
                <c:pt idx="243">
                  <c:v>44803</c:v>
                </c:pt>
                <c:pt idx="244">
                  <c:v>44805</c:v>
                </c:pt>
                <c:pt idx="245">
                  <c:v>44806</c:v>
                </c:pt>
                <c:pt idx="246">
                  <c:v>44809</c:v>
                </c:pt>
                <c:pt idx="247">
                  <c:v>44810</c:v>
                </c:pt>
                <c:pt idx="248">
                  <c:v>44811</c:v>
                </c:pt>
                <c:pt idx="249">
                  <c:v>44812</c:v>
                </c:pt>
                <c:pt idx="250">
                  <c:v>44813</c:v>
                </c:pt>
                <c:pt idx="251">
                  <c:v>44816</c:v>
                </c:pt>
                <c:pt idx="252">
                  <c:v>44817</c:v>
                </c:pt>
                <c:pt idx="253">
                  <c:v>44818</c:v>
                </c:pt>
                <c:pt idx="254">
                  <c:v>44819</c:v>
                </c:pt>
                <c:pt idx="255">
                  <c:v>44820</c:v>
                </c:pt>
                <c:pt idx="256">
                  <c:v>44823</c:v>
                </c:pt>
                <c:pt idx="257">
                  <c:v>44824</c:v>
                </c:pt>
                <c:pt idx="258">
                  <c:v>44825</c:v>
                </c:pt>
                <c:pt idx="259">
                  <c:v>44826</c:v>
                </c:pt>
                <c:pt idx="260">
                  <c:v>44827</c:v>
                </c:pt>
                <c:pt idx="261">
                  <c:v>44830</c:v>
                </c:pt>
                <c:pt idx="262">
                  <c:v>44831</c:v>
                </c:pt>
                <c:pt idx="263">
                  <c:v>44832</c:v>
                </c:pt>
                <c:pt idx="264">
                  <c:v>44833</c:v>
                </c:pt>
                <c:pt idx="265">
                  <c:v>44834</c:v>
                </c:pt>
                <c:pt idx="266">
                  <c:v>44837</c:v>
                </c:pt>
                <c:pt idx="267">
                  <c:v>44838</c:v>
                </c:pt>
                <c:pt idx="268">
                  <c:v>44840</c:v>
                </c:pt>
                <c:pt idx="269">
                  <c:v>44841</c:v>
                </c:pt>
                <c:pt idx="270">
                  <c:v>44844</c:v>
                </c:pt>
                <c:pt idx="271">
                  <c:v>44845</c:v>
                </c:pt>
                <c:pt idx="272">
                  <c:v>44846</c:v>
                </c:pt>
                <c:pt idx="273">
                  <c:v>44847</c:v>
                </c:pt>
                <c:pt idx="274">
                  <c:v>44848</c:v>
                </c:pt>
                <c:pt idx="275">
                  <c:v>44851</c:v>
                </c:pt>
                <c:pt idx="276">
                  <c:v>44852</c:v>
                </c:pt>
                <c:pt idx="277">
                  <c:v>44853</c:v>
                </c:pt>
                <c:pt idx="278">
                  <c:v>44854</c:v>
                </c:pt>
                <c:pt idx="279">
                  <c:v>44855</c:v>
                </c:pt>
                <c:pt idx="280">
                  <c:v>44858</c:v>
                </c:pt>
                <c:pt idx="281">
                  <c:v>44859</c:v>
                </c:pt>
                <c:pt idx="282">
                  <c:v>44861</c:v>
                </c:pt>
                <c:pt idx="283">
                  <c:v>44862</c:v>
                </c:pt>
                <c:pt idx="284">
                  <c:v>44865</c:v>
                </c:pt>
                <c:pt idx="285">
                  <c:v>44866</c:v>
                </c:pt>
                <c:pt idx="286">
                  <c:v>44867</c:v>
                </c:pt>
                <c:pt idx="287">
                  <c:v>44868</c:v>
                </c:pt>
                <c:pt idx="288">
                  <c:v>44869</c:v>
                </c:pt>
                <c:pt idx="289">
                  <c:v>44872</c:v>
                </c:pt>
                <c:pt idx="290">
                  <c:v>44874</c:v>
                </c:pt>
                <c:pt idx="291">
                  <c:v>44875</c:v>
                </c:pt>
                <c:pt idx="292">
                  <c:v>44876</c:v>
                </c:pt>
                <c:pt idx="293">
                  <c:v>44879</c:v>
                </c:pt>
                <c:pt idx="294">
                  <c:v>44880</c:v>
                </c:pt>
                <c:pt idx="295">
                  <c:v>44881</c:v>
                </c:pt>
                <c:pt idx="296">
                  <c:v>44882</c:v>
                </c:pt>
                <c:pt idx="297">
                  <c:v>44883</c:v>
                </c:pt>
                <c:pt idx="298">
                  <c:v>44886</c:v>
                </c:pt>
                <c:pt idx="299">
                  <c:v>44887</c:v>
                </c:pt>
                <c:pt idx="300">
                  <c:v>44888</c:v>
                </c:pt>
                <c:pt idx="301">
                  <c:v>44889</c:v>
                </c:pt>
                <c:pt idx="302">
                  <c:v>44890</c:v>
                </c:pt>
                <c:pt idx="303">
                  <c:v>44893</c:v>
                </c:pt>
                <c:pt idx="304">
                  <c:v>44894</c:v>
                </c:pt>
                <c:pt idx="305">
                  <c:v>44895</c:v>
                </c:pt>
                <c:pt idx="306">
                  <c:v>44896</c:v>
                </c:pt>
                <c:pt idx="307">
                  <c:v>44897</c:v>
                </c:pt>
                <c:pt idx="308">
                  <c:v>44900</c:v>
                </c:pt>
                <c:pt idx="309">
                  <c:v>44901</c:v>
                </c:pt>
                <c:pt idx="310">
                  <c:v>44902</c:v>
                </c:pt>
                <c:pt idx="311">
                  <c:v>44903</c:v>
                </c:pt>
                <c:pt idx="312">
                  <c:v>44904</c:v>
                </c:pt>
                <c:pt idx="313">
                  <c:v>44907</c:v>
                </c:pt>
                <c:pt idx="314">
                  <c:v>44908</c:v>
                </c:pt>
                <c:pt idx="315">
                  <c:v>44909</c:v>
                </c:pt>
                <c:pt idx="316">
                  <c:v>44910</c:v>
                </c:pt>
                <c:pt idx="317">
                  <c:v>44911</c:v>
                </c:pt>
                <c:pt idx="318">
                  <c:v>44914</c:v>
                </c:pt>
                <c:pt idx="319">
                  <c:v>44915</c:v>
                </c:pt>
                <c:pt idx="320">
                  <c:v>44916</c:v>
                </c:pt>
                <c:pt idx="321">
                  <c:v>44917</c:v>
                </c:pt>
                <c:pt idx="322">
                  <c:v>44918</c:v>
                </c:pt>
                <c:pt idx="323">
                  <c:v>44921</c:v>
                </c:pt>
                <c:pt idx="324">
                  <c:v>44922</c:v>
                </c:pt>
                <c:pt idx="325">
                  <c:v>44923</c:v>
                </c:pt>
                <c:pt idx="326">
                  <c:v>44924</c:v>
                </c:pt>
                <c:pt idx="327">
                  <c:v>44925</c:v>
                </c:pt>
                <c:pt idx="328">
                  <c:v>44928</c:v>
                </c:pt>
                <c:pt idx="329">
                  <c:v>44929</c:v>
                </c:pt>
                <c:pt idx="330">
                  <c:v>44930</c:v>
                </c:pt>
                <c:pt idx="331">
                  <c:v>44931</c:v>
                </c:pt>
                <c:pt idx="332">
                  <c:v>44932</c:v>
                </c:pt>
                <c:pt idx="333">
                  <c:v>44935</c:v>
                </c:pt>
                <c:pt idx="334">
                  <c:v>44936</c:v>
                </c:pt>
                <c:pt idx="335">
                  <c:v>44937</c:v>
                </c:pt>
                <c:pt idx="336">
                  <c:v>44938</c:v>
                </c:pt>
                <c:pt idx="337">
                  <c:v>44939</c:v>
                </c:pt>
                <c:pt idx="338">
                  <c:v>44942</c:v>
                </c:pt>
                <c:pt idx="339">
                  <c:v>44943</c:v>
                </c:pt>
                <c:pt idx="340">
                  <c:v>44944</c:v>
                </c:pt>
                <c:pt idx="341">
                  <c:v>44945</c:v>
                </c:pt>
                <c:pt idx="342">
                  <c:v>44946</c:v>
                </c:pt>
                <c:pt idx="343">
                  <c:v>44949</c:v>
                </c:pt>
                <c:pt idx="344">
                  <c:v>44950</c:v>
                </c:pt>
                <c:pt idx="345">
                  <c:v>44951</c:v>
                </c:pt>
                <c:pt idx="346">
                  <c:v>44953</c:v>
                </c:pt>
                <c:pt idx="347">
                  <c:v>44956</c:v>
                </c:pt>
                <c:pt idx="348">
                  <c:v>44957</c:v>
                </c:pt>
                <c:pt idx="349">
                  <c:v>44958</c:v>
                </c:pt>
                <c:pt idx="350">
                  <c:v>44959</c:v>
                </c:pt>
                <c:pt idx="351">
                  <c:v>44960</c:v>
                </c:pt>
                <c:pt idx="352">
                  <c:v>44963</c:v>
                </c:pt>
                <c:pt idx="353">
                  <c:v>44964</c:v>
                </c:pt>
                <c:pt idx="354">
                  <c:v>44965</c:v>
                </c:pt>
                <c:pt idx="355">
                  <c:v>44966</c:v>
                </c:pt>
                <c:pt idx="356">
                  <c:v>44967</c:v>
                </c:pt>
                <c:pt idx="357">
                  <c:v>44970</c:v>
                </c:pt>
                <c:pt idx="358">
                  <c:v>44971</c:v>
                </c:pt>
                <c:pt idx="359">
                  <c:v>44972</c:v>
                </c:pt>
                <c:pt idx="360">
                  <c:v>44973</c:v>
                </c:pt>
                <c:pt idx="361">
                  <c:v>44974</c:v>
                </c:pt>
                <c:pt idx="362">
                  <c:v>44977</c:v>
                </c:pt>
                <c:pt idx="363">
                  <c:v>44978</c:v>
                </c:pt>
                <c:pt idx="364">
                  <c:v>44979</c:v>
                </c:pt>
                <c:pt idx="365">
                  <c:v>44980</c:v>
                </c:pt>
                <c:pt idx="366">
                  <c:v>44981</c:v>
                </c:pt>
                <c:pt idx="367">
                  <c:v>44984</c:v>
                </c:pt>
                <c:pt idx="368">
                  <c:v>44985</c:v>
                </c:pt>
                <c:pt idx="369">
                  <c:v>44986</c:v>
                </c:pt>
                <c:pt idx="370">
                  <c:v>44987</c:v>
                </c:pt>
                <c:pt idx="371">
                  <c:v>44988</c:v>
                </c:pt>
                <c:pt idx="372">
                  <c:v>44991</c:v>
                </c:pt>
                <c:pt idx="373">
                  <c:v>44993</c:v>
                </c:pt>
                <c:pt idx="374">
                  <c:v>44994</c:v>
                </c:pt>
                <c:pt idx="375">
                  <c:v>44995</c:v>
                </c:pt>
                <c:pt idx="376">
                  <c:v>44998</c:v>
                </c:pt>
                <c:pt idx="377">
                  <c:v>44999</c:v>
                </c:pt>
                <c:pt idx="378">
                  <c:v>45000</c:v>
                </c:pt>
                <c:pt idx="379">
                  <c:v>45001</c:v>
                </c:pt>
                <c:pt idx="380">
                  <c:v>45002</c:v>
                </c:pt>
                <c:pt idx="381">
                  <c:v>45005</c:v>
                </c:pt>
                <c:pt idx="382">
                  <c:v>45006</c:v>
                </c:pt>
                <c:pt idx="383">
                  <c:v>45007</c:v>
                </c:pt>
                <c:pt idx="384">
                  <c:v>45008</c:v>
                </c:pt>
                <c:pt idx="385">
                  <c:v>45009</c:v>
                </c:pt>
                <c:pt idx="386">
                  <c:v>45012</c:v>
                </c:pt>
                <c:pt idx="387">
                  <c:v>45013</c:v>
                </c:pt>
                <c:pt idx="388">
                  <c:v>45014</c:v>
                </c:pt>
                <c:pt idx="389">
                  <c:v>45016</c:v>
                </c:pt>
                <c:pt idx="390">
                  <c:v>45019</c:v>
                </c:pt>
                <c:pt idx="391">
                  <c:v>45021</c:v>
                </c:pt>
                <c:pt idx="392">
                  <c:v>45022</c:v>
                </c:pt>
                <c:pt idx="393">
                  <c:v>45026</c:v>
                </c:pt>
                <c:pt idx="394">
                  <c:v>45027</c:v>
                </c:pt>
                <c:pt idx="395">
                  <c:v>45028</c:v>
                </c:pt>
                <c:pt idx="396">
                  <c:v>45029</c:v>
                </c:pt>
                <c:pt idx="397">
                  <c:v>45033</c:v>
                </c:pt>
                <c:pt idx="398">
                  <c:v>45034</c:v>
                </c:pt>
                <c:pt idx="399">
                  <c:v>45035</c:v>
                </c:pt>
                <c:pt idx="400">
                  <c:v>45036</c:v>
                </c:pt>
                <c:pt idx="401">
                  <c:v>45037</c:v>
                </c:pt>
                <c:pt idx="402">
                  <c:v>45040</c:v>
                </c:pt>
                <c:pt idx="403">
                  <c:v>45041</c:v>
                </c:pt>
                <c:pt idx="404">
                  <c:v>45042</c:v>
                </c:pt>
                <c:pt idx="405">
                  <c:v>45043</c:v>
                </c:pt>
                <c:pt idx="406">
                  <c:v>45044</c:v>
                </c:pt>
                <c:pt idx="407">
                  <c:v>45048</c:v>
                </c:pt>
                <c:pt idx="408">
                  <c:v>45049</c:v>
                </c:pt>
                <c:pt idx="409">
                  <c:v>45050</c:v>
                </c:pt>
                <c:pt idx="410">
                  <c:v>45051</c:v>
                </c:pt>
                <c:pt idx="411">
                  <c:v>45054</c:v>
                </c:pt>
                <c:pt idx="412">
                  <c:v>45055</c:v>
                </c:pt>
                <c:pt idx="413">
                  <c:v>45056</c:v>
                </c:pt>
                <c:pt idx="414">
                  <c:v>45057</c:v>
                </c:pt>
                <c:pt idx="415">
                  <c:v>45058</c:v>
                </c:pt>
                <c:pt idx="416">
                  <c:v>45061</c:v>
                </c:pt>
                <c:pt idx="417">
                  <c:v>45062</c:v>
                </c:pt>
                <c:pt idx="418">
                  <c:v>45063</c:v>
                </c:pt>
                <c:pt idx="419">
                  <c:v>45064</c:v>
                </c:pt>
                <c:pt idx="420">
                  <c:v>45065</c:v>
                </c:pt>
                <c:pt idx="421">
                  <c:v>45068</c:v>
                </c:pt>
                <c:pt idx="422">
                  <c:v>45069</c:v>
                </c:pt>
                <c:pt idx="423">
                  <c:v>45070</c:v>
                </c:pt>
                <c:pt idx="424">
                  <c:v>45071</c:v>
                </c:pt>
                <c:pt idx="425">
                  <c:v>45072</c:v>
                </c:pt>
                <c:pt idx="426">
                  <c:v>45075</c:v>
                </c:pt>
                <c:pt idx="427">
                  <c:v>45076</c:v>
                </c:pt>
                <c:pt idx="428">
                  <c:v>45077</c:v>
                </c:pt>
                <c:pt idx="429">
                  <c:v>45078</c:v>
                </c:pt>
                <c:pt idx="430">
                  <c:v>45079</c:v>
                </c:pt>
                <c:pt idx="431">
                  <c:v>45082</c:v>
                </c:pt>
                <c:pt idx="432">
                  <c:v>45083</c:v>
                </c:pt>
                <c:pt idx="433">
                  <c:v>45084</c:v>
                </c:pt>
                <c:pt idx="434">
                  <c:v>45085</c:v>
                </c:pt>
                <c:pt idx="435">
                  <c:v>45086</c:v>
                </c:pt>
                <c:pt idx="436">
                  <c:v>45089</c:v>
                </c:pt>
                <c:pt idx="437">
                  <c:v>45090</c:v>
                </c:pt>
                <c:pt idx="438">
                  <c:v>45091</c:v>
                </c:pt>
                <c:pt idx="439">
                  <c:v>45092</c:v>
                </c:pt>
                <c:pt idx="440">
                  <c:v>45093</c:v>
                </c:pt>
                <c:pt idx="441">
                  <c:v>45096</c:v>
                </c:pt>
                <c:pt idx="442">
                  <c:v>45097</c:v>
                </c:pt>
                <c:pt idx="443">
                  <c:v>45098</c:v>
                </c:pt>
                <c:pt idx="444">
                  <c:v>45099</c:v>
                </c:pt>
                <c:pt idx="445">
                  <c:v>45100</c:v>
                </c:pt>
                <c:pt idx="446">
                  <c:v>45103</c:v>
                </c:pt>
                <c:pt idx="447">
                  <c:v>45104</c:v>
                </c:pt>
                <c:pt idx="448">
                  <c:v>45105</c:v>
                </c:pt>
                <c:pt idx="449">
                  <c:v>45107</c:v>
                </c:pt>
                <c:pt idx="450">
                  <c:v>45110</c:v>
                </c:pt>
                <c:pt idx="451">
                  <c:v>45111</c:v>
                </c:pt>
                <c:pt idx="452">
                  <c:v>45112</c:v>
                </c:pt>
                <c:pt idx="453">
                  <c:v>45113</c:v>
                </c:pt>
                <c:pt idx="454">
                  <c:v>45114</c:v>
                </c:pt>
                <c:pt idx="455">
                  <c:v>45117</c:v>
                </c:pt>
                <c:pt idx="456">
                  <c:v>45118</c:v>
                </c:pt>
                <c:pt idx="457">
                  <c:v>45119</c:v>
                </c:pt>
                <c:pt idx="458">
                  <c:v>45120</c:v>
                </c:pt>
                <c:pt idx="459">
                  <c:v>45121</c:v>
                </c:pt>
                <c:pt idx="460">
                  <c:v>45124</c:v>
                </c:pt>
                <c:pt idx="461">
                  <c:v>45125</c:v>
                </c:pt>
                <c:pt idx="462">
                  <c:v>45126</c:v>
                </c:pt>
                <c:pt idx="463">
                  <c:v>45127</c:v>
                </c:pt>
                <c:pt idx="464">
                  <c:v>45128</c:v>
                </c:pt>
                <c:pt idx="465">
                  <c:v>45131</c:v>
                </c:pt>
                <c:pt idx="466">
                  <c:v>45132</c:v>
                </c:pt>
                <c:pt idx="467">
                  <c:v>45133</c:v>
                </c:pt>
                <c:pt idx="468">
                  <c:v>45134</c:v>
                </c:pt>
                <c:pt idx="469">
                  <c:v>45135</c:v>
                </c:pt>
                <c:pt idx="470">
                  <c:v>45138</c:v>
                </c:pt>
                <c:pt idx="471">
                  <c:v>45139</c:v>
                </c:pt>
                <c:pt idx="472">
                  <c:v>45140</c:v>
                </c:pt>
                <c:pt idx="473">
                  <c:v>45141</c:v>
                </c:pt>
                <c:pt idx="474">
                  <c:v>45142</c:v>
                </c:pt>
                <c:pt idx="475">
                  <c:v>45145</c:v>
                </c:pt>
                <c:pt idx="476">
                  <c:v>45146</c:v>
                </c:pt>
                <c:pt idx="477">
                  <c:v>45147</c:v>
                </c:pt>
                <c:pt idx="478">
                  <c:v>45148</c:v>
                </c:pt>
                <c:pt idx="479">
                  <c:v>45149</c:v>
                </c:pt>
                <c:pt idx="480">
                  <c:v>45152</c:v>
                </c:pt>
                <c:pt idx="481">
                  <c:v>45154</c:v>
                </c:pt>
                <c:pt idx="482">
                  <c:v>45155</c:v>
                </c:pt>
                <c:pt idx="483">
                  <c:v>45156</c:v>
                </c:pt>
                <c:pt idx="484">
                  <c:v>45159</c:v>
                </c:pt>
                <c:pt idx="485">
                  <c:v>45160</c:v>
                </c:pt>
                <c:pt idx="486">
                  <c:v>45161</c:v>
                </c:pt>
                <c:pt idx="487">
                  <c:v>45162</c:v>
                </c:pt>
                <c:pt idx="488">
                  <c:v>45163</c:v>
                </c:pt>
                <c:pt idx="489">
                  <c:v>45166</c:v>
                </c:pt>
                <c:pt idx="490">
                  <c:v>45167</c:v>
                </c:pt>
                <c:pt idx="491">
                  <c:v>45168</c:v>
                </c:pt>
                <c:pt idx="492">
                  <c:v>45169</c:v>
                </c:pt>
                <c:pt idx="493">
                  <c:v>45170</c:v>
                </c:pt>
                <c:pt idx="494">
                  <c:v>45173</c:v>
                </c:pt>
                <c:pt idx="495">
                  <c:v>45174</c:v>
                </c:pt>
                <c:pt idx="496">
                  <c:v>45175</c:v>
                </c:pt>
                <c:pt idx="497">
                  <c:v>45176</c:v>
                </c:pt>
                <c:pt idx="498">
                  <c:v>45177</c:v>
                </c:pt>
                <c:pt idx="499">
                  <c:v>45180</c:v>
                </c:pt>
                <c:pt idx="500">
                  <c:v>45181</c:v>
                </c:pt>
                <c:pt idx="501">
                  <c:v>45182</c:v>
                </c:pt>
                <c:pt idx="502">
                  <c:v>45183</c:v>
                </c:pt>
                <c:pt idx="503">
                  <c:v>45184</c:v>
                </c:pt>
                <c:pt idx="504">
                  <c:v>45187</c:v>
                </c:pt>
                <c:pt idx="505">
                  <c:v>45189</c:v>
                </c:pt>
                <c:pt idx="506">
                  <c:v>45190</c:v>
                </c:pt>
                <c:pt idx="507">
                  <c:v>45191</c:v>
                </c:pt>
                <c:pt idx="508">
                  <c:v>45194</c:v>
                </c:pt>
                <c:pt idx="509">
                  <c:v>45195</c:v>
                </c:pt>
                <c:pt idx="510">
                  <c:v>45196</c:v>
                </c:pt>
                <c:pt idx="511">
                  <c:v>45197</c:v>
                </c:pt>
                <c:pt idx="512">
                  <c:v>45198</c:v>
                </c:pt>
                <c:pt idx="513">
                  <c:v>45202</c:v>
                </c:pt>
                <c:pt idx="514">
                  <c:v>45203</c:v>
                </c:pt>
                <c:pt idx="515">
                  <c:v>45204</c:v>
                </c:pt>
                <c:pt idx="516">
                  <c:v>45205</c:v>
                </c:pt>
                <c:pt idx="517">
                  <c:v>45208</c:v>
                </c:pt>
                <c:pt idx="518">
                  <c:v>45209</c:v>
                </c:pt>
                <c:pt idx="519">
                  <c:v>45210</c:v>
                </c:pt>
                <c:pt idx="520">
                  <c:v>45211</c:v>
                </c:pt>
                <c:pt idx="521">
                  <c:v>45212</c:v>
                </c:pt>
                <c:pt idx="522">
                  <c:v>45215</c:v>
                </c:pt>
                <c:pt idx="523">
                  <c:v>45216</c:v>
                </c:pt>
                <c:pt idx="524">
                  <c:v>45217</c:v>
                </c:pt>
                <c:pt idx="525">
                  <c:v>45218</c:v>
                </c:pt>
                <c:pt idx="526">
                  <c:v>45219</c:v>
                </c:pt>
                <c:pt idx="527">
                  <c:v>45222</c:v>
                </c:pt>
                <c:pt idx="528">
                  <c:v>45224</c:v>
                </c:pt>
                <c:pt idx="529">
                  <c:v>45225</c:v>
                </c:pt>
                <c:pt idx="530">
                  <c:v>45226</c:v>
                </c:pt>
                <c:pt idx="531">
                  <c:v>45229</c:v>
                </c:pt>
                <c:pt idx="532">
                  <c:v>45230</c:v>
                </c:pt>
                <c:pt idx="533">
                  <c:v>45231</c:v>
                </c:pt>
                <c:pt idx="534">
                  <c:v>45232</c:v>
                </c:pt>
                <c:pt idx="535">
                  <c:v>45233</c:v>
                </c:pt>
                <c:pt idx="536">
                  <c:v>45236</c:v>
                </c:pt>
                <c:pt idx="537">
                  <c:v>45237</c:v>
                </c:pt>
                <c:pt idx="538">
                  <c:v>45238</c:v>
                </c:pt>
                <c:pt idx="539">
                  <c:v>45239</c:v>
                </c:pt>
                <c:pt idx="540">
                  <c:v>45240</c:v>
                </c:pt>
                <c:pt idx="541">
                  <c:v>45243</c:v>
                </c:pt>
                <c:pt idx="542">
                  <c:v>45245</c:v>
                </c:pt>
                <c:pt idx="543">
                  <c:v>45246</c:v>
                </c:pt>
                <c:pt idx="544">
                  <c:v>45247</c:v>
                </c:pt>
                <c:pt idx="545">
                  <c:v>45250</c:v>
                </c:pt>
                <c:pt idx="546">
                  <c:v>45251</c:v>
                </c:pt>
                <c:pt idx="547">
                  <c:v>45252</c:v>
                </c:pt>
                <c:pt idx="548">
                  <c:v>45253</c:v>
                </c:pt>
                <c:pt idx="549">
                  <c:v>45254</c:v>
                </c:pt>
                <c:pt idx="550">
                  <c:v>45258</c:v>
                </c:pt>
                <c:pt idx="551">
                  <c:v>45259</c:v>
                </c:pt>
                <c:pt idx="552">
                  <c:v>45260</c:v>
                </c:pt>
                <c:pt idx="553">
                  <c:v>45261</c:v>
                </c:pt>
                <c:pt idx="554">
                  <c:v>45264</c:v>
                </c:pt>
                <c:pt idx="555">
                  <c:v>45265</c:v>
                </c:pt>
                <c:pt idx="556">
                  <c:v>45266</c:v>
                </c:pt>
                <c:pt idx="557">
                  <c:v>45267</c:v>
                </c:pt>
                <c:pt idx="558">
                  <c:v>45268</c:v>
                </c:pt>
                <c:pt idx="559">
                  <c:v>45271</c:v>
                </c:pt>
                <c:pt idx="560">
                  <c:v>45272</c:v>
                </c:pt>
                <c:pt idx="561">
                  <c:v>45273</c:v>
                </c:pt>
                <c:pt idx="562">
                  <c:v>45274</c:v>
                </c:pt>
                <c:pt idx="563">
                  <c:v>45275</c:v>
                </c:pt>
                <c:pt idx="564">
                  <c:v>45278</c:v>
                </c:pt>
                <c:pt idx="565">
                  <c:v>45279</c:v>
                </c:pt>
                <c:pt idx="566">
                  <c:v>45280</c:v>
                </c:pt>
                <c:pt idx="567">
                  <c:v>45281</c:v>
                </c:pt>
                <c:pt idx="568">
                  <c:v>45282</c:v>
                </c:pt>
                <c:pt idx="569">
                  <c:v>45286</c:v>
                </c:pt>
                <c:pt idx="570">
                  <c:v>45287</c:v>
                </c:pt>
                <c:pt idx="571">
                  <c:v>45288</c:v>
                </c:pt>
                <c:pt idx="572">
                  <c:v>45289</c:v>
                </c:pt>
                <c:pt idx="573">
                  <c:v>45292</c:v>
                </c:pt>
                <c:pt idx="574">
                  <c:v>45293</c:v>
                </c:pt>
                <c:pt idx="575">
                  <c:v>45294</c:v>
                </c:pt>
                <c:pt idx="576">
                  <c:v>45295</c:v>
                </c:pt>
                <c:pt idx="577">
                  <c:v>45296</c:v>
                </c:pt>
                <c:pt idx="578">
                  <c:v>45299</c:v>
                </c:pt>
                <c:pt idx="579">
                  <c:v>45300</c:v>
                </c:pt>
                <c:pt idx="580">
                  <c:v>45301</c:v>
                </c:pt>
                <c:pt idx="581">
                  <c:v>45302</c:v>
                </c:pt>
                <c:pt idx="582">
                  <c:v>45303</c:v>
                </c:pt>
                <c:pt idx="583">
                  <c:v>45306</c:v>
                </c:pt>
                <c:pt idx="584">
                  <c:v>45307</c:v>
                </c:pt>
                <c:pt idx="585">
                  <c:v>45308</c:v>
                </c:pt>
                <c:pt idx="586">
                  <c:v>45309</c:v>
                </c:pt>
                <c:pt idx="587">
                  <c:v>45310</c:v>
                </c:pt>
                <c:pt idx="588">
                  <c:v>45314</c:v>
                </c:pt>
                <c:pt idx="589">
                  <c:v>45315</c:v>
                </c:pt>
                <c:pt idx="590">
                  <c:v>45316</c:v>
                </c:pt>
                <c:pt idx="591">
                  <c:v>45320</c:v>
                </c:pt>
                <c:pt idx="592">
                  <c:v>45321</c:v>
                </c:pt>
                <c:pt idx="593">
                  <c:v>45322</c:v>
                </c:pt>
                <c:pt idx="594">
                  <c:v>45323</c:v>
                </c:pt>
                <c:pt idx="595">
                  <c:v>45324</c:v>
                </c:pt>
                <c:pt idx="596">
                  <c:v>45327</c:v>
                </c:pt>
                <c:pt idx="597">
                  <c:v>45328</c:v>
                </c:pt>
                <c:pt idx="598">
                  <c:v>45329</c:v>
                </c:pt>
                <c:pt idx="599">
                  <c:v>45330</c:v>
                </c:pt>
                <c:pt idx="600">
                  <c:v>45331</c:v>
                </c:pt>
                <c:pt idx="601">
                  <c:v>45334</c:v>
                </c:pt>
                <c:pt idx="602">
                  <c:v>45335</c:v>
                </c:pt>
                <c:pt idx="603">
                  <c:v>45336</c:v>
                </c:pt>
                <c:pt idx="604">
                  <c:v>45337</c:v>
                </c:pt>
                <c:pt idx="605">
                  <c:v>45338</c:v>
                </c:pt>
                <c:pt idx="606">
                  <c:v>45341</c:v>
                </c:pt>
                <c:pt idx="607">
                  <c:v>45342</c:v>
                </c:pt>
                <c:pt idx="608">
                  <c:v>45343</c:v>
                </c:pt>
                <c:pt idx="609">
                  <c:v>45344</c:v>
                </c:pt>
                <c:pt idx="610">
                  <c:v>45345</c:v>
                </c:pt>
                <c:pt idx="611">
                  <c:v>45348</c:v>
                </c:pt>
                <c:pt idx="612">
                  <c:v>45349</c:v>
                </c:pt>
                <c:pt idx="613">
                  <c:v>45350</c:v>
                </c:pt>
                <c:pt idx="614">
                  <c:v>45351</c:v>
                </c:pt>
                <c:pt idx="615">
                  <c:v>45352</c:v>
                </c:pt>
                <c:pt idx="616">
                  <c:v>45355</c:v>
                </c:pt>
                <c:pt idx="617">
                  <c:v>45356</c:v>
                </c:pt>
                <c:pt idx="618">
                  <c:v>45357</c:v>
                </c:pt>
                <c:pt idx="619">
                  <c:v>45358</c:v>
                </c:pt>
                <c:pt idx="620">
                  <c:v>45362</c:v>
                </c:pt>
                <c:pt idx="621">
                  <c:v>45363</c:v>
                </c:pt>
                <c:pt idx="622">
                  <c:v>45364</c:v>
                </c:pt>
                <c:pt idx="623">
                  <c:v>45365</c:v>
                </c:pt>
                <c:pt idx="624">
                  <c:v>45369</c:v>
                </c:pt>
                <c:pt idx="625">
                  <c:v>45370</c:v>
                </c:pt>
                <c:pt idx="626">
                  <c:v>45371</c:v>
                </c:pt>
                <c:pt idx="627">
                  <c:v>45372</c:v>
                </c:pt>
                <c:pt idx="628">
                  <c:v>45373</c:v>
                </c:pt>
                <c:pt idx="629">
                  <c:v>45377</c:v>
                </c:pt>
                <c:pt idx="630">
                  <c:v>45378</c:v>
                </c:pt>
                <c:pt idx="631">
                  <c:v>45379</c:v>
                </c:pt>
                <c:pt idx="632">
                  <c:v>45383</c:v>
                </c:pt>
                <c:pt idx="633">
                  <c:v>45384</c:v>
                </c:pt>
                <c:pt idx="634">
                  <c:v>45385</c:v>
                </c:pt>
                <c:pt idx="635">
                  <c:v>45386</c:v>
                </c:pt>
                <c:pt idx="636">
                  <c:v>45387</c:v>
                </c:pt>
                <c:pt idx="637">
                  <c:v>45390</c:v>
                </c:pt>
                <c:pt idx="638">
                  <c:v>45391</c:v>
                </c:pt>
                <c:pt idx="639">
                  <c:v>45392</c:v>
                </c:pt>
                <c:pt idx="640">
                  <c:v>45394</c:v>
                </c:pt>
                <c:pt idx="641">
                  <c:v>45397</c:v>
                </c:pt>
                <c:pt idx="642">
                  <c:v>45398</c:v>
                </c:pt>
                <c:pt idx="643">
                  <c:v>45400</c:v>
                </c:pt>
                <c:pt idx="644">
                  <c:v>45401</c:v>
                </c:pt>
                <c:pt idx="645">
                  <c:v>45404</c:v>
                </c:pt>
                <c:pt idx="646">
                  <c:v>45405</c:v>
                </c:pt>
                <c:pt idx="647">
                  <c:v>45406</c:v>
                </c:pt>
                <c:pt idx="648">
                  <c:v>45407</c:v>
                </c:pt>
                <c:pt idx="649">
                  <c:v>45408</c:v>
                </c:pt>
                <c:pt idx="650">
                  <c:v>45411</c:v>
                </c:pt>
                <c:pt idx="651">
                  <c:v>45412</c:v>
                </c:pt>
                <c:pt idx="652">
                  <c:v>45414</c:v>
                </c:pt>
                <c:pt idx="653">
                  <c:v>45415</c:v>
                </c:pt>
                <c:pt idx="654">
                  <c:v>45418</c:v>
                </c:pt>
                <c:pt idx="655">
                  <c:v>45419</c:v>
                </c:pt>
                <c:pt idx="656">
                  <c:v>45420</c:v>
                </c:pt>
                <c:pt idx="657">
                  <c:v>45421</c:v>
                </c:pt>
                <c:pt idx="658">
                  <c:v>45422</c:v>
                </c:pt>
                <c:pt idx="659">
                  <c:v>45425</c:v>
                </c:pt>
                <c:pt idx="660">
                  <c:v>45426</c:v>
                </c:pt>
                <c:pt idx="661">
                  <c:v>45427</c:v>
                </c:pt>
                <c:pt idx="662">
                  <c:v>45428</c:v>
                </c:pt>
                <c:pt idx="663">
                  <c:v>45429</c:v>
                </c:pt>
                <c:pt idx="664">
                  <c:v>45433</c:v>
                </c:pt>
                <c:pt idx="665">
                  <c:v>45434</c:v>
                </c:pt>
                <c:pt idx="666">
                  <c:v>45435</c:v>
                </c:pt>
                <c:pt idx="667">
                  <c:v>45436</c:v>
                </c:pt>
                <c:pt idx="668">
                  <c:v>45439</c:v>
                </c:pt>
                <c:pt idx="669">
                  <c:v>45440</c:v>
                </c:pt>
                <c:pt idx="670">
                  <c:v>45441</c:v>
                </c:pt>
                <c:pt idx="671">
                  <c:v>45442</c:v>
                </c:pt>
                <c:pt idx="672">
                  <c:v>45443</c:v>
                </c:pt>
                <c:pt idx="673">
                  <c:v>45446</c:v>
                </c:pt>
                <c:pt idx="674">
                  <c:v>45447</c:v>
                </c:pt>
                <c:pt idx="675">
                  <c:v>45448</c:v>
                </c:pt>
                <c:pt idx="676">
                  <c:v>45449</c:v>
                </c:pt>
                <c:pt idx="677">
                  <c:v>45450</c:v>
                </c:pt>
                <c:pt idx="678">
                  <c:v>45453</c:v>
                </c:pt>
                <c:pt idx="679">
                  <c:v>45454</c:v>
                </c:pt>
                <c:pt idx="680">
                  <c:v>45455</c:v>
                </c:pt>
                <c:pt idx="681">
                  <c:v>45456</c:v>
                </c:pt>
                <c:pt idx="682">
                  <c:v>45457</c:v>
                </c:pt>
                <c:pt idx="683">
                  <c:v>45461</c:v>
                </c:pt>
                <c:pt idx="684">
                  <c:v>45462</c:v>
                </c:pt>
                <c:pt idx="685">
                  <c:v>45463</c:v>
                </c:pt>
                <c:pt idx="686">
                  <c:v>45464</c:v>
                </c:pt>
                <c:pt idx="687">
                  <c:v>45467</c:v>
                </c:pt>
                <c:pt idx="688">
                  <c:v>45468</c:v>
                </c:pt>
                <c:pt idx="689">
                  <c:v>45469</c:v>
                </c:pt>
                <c:pt idx="690">
                  <c:v>45470</c:v>
                </c:pt>
                <c:pt idx="691">
                  <c:v>45471</c:v>
                </c:pt>
                <c:pt idx="692">
                  <c:v>45474</c:v>
                </c:pt>
                <c:pt idx="693">
                  <c:v>45475</c:v>
                </c:pt>
                <c:pt idx="694">
                  <c:v>45476</c:v>
                </c:pt>
                <c:pt idx="695">
                  <c:v>45477</c:v>
                </c:pt>
                <c:pt idx="696">
                  <c:v>45478</c:v>
                </c:pt>
                <c:pt idx="697">
                  <c:v>45481</c:v>
                </c:pt>
                <c:pt idx="698">
                  <c:v>45482</c:v>
                </c:pt>
                <c:pt idx="699">
                  <c:v>45483</c:v>
                </c:pt>
                <c:pt idx="700">
                  <c:v>45484</c:v>
                </c:pt>
                <c:pt idx="701">
                  <c:v>45485</c:v>
                </c:pt>
                <c:pt idx="702">
                  <c:v>45488</c:v>
                </c:pt>
                <c:pt idx="703">
                  <c:v>45489</c:v>
                </c:pt>
                <c:pt idx="704">
                  <c:v>45491</c:v>
                </c:pt>
                <c:pt idx="705">
                  <c:v>45492</c:v>
                </c:pt>
                <c:pt idx="706">
                  <c:v>45495</c:v>
                </c:pt>
                <c:pt idx="707">
                  <c:v>45496</c:v>
                </c:pt>
                <c:pt idx="708">
                  <c:v>45497</c:v>
                </c:pt>
                <c:pt idx="709">
                  <c:v>45498</c:v>
                </c:pt>
                <c:pt idx="710">
                  <c:v>45499</c:v>
                </c:pt>
                <c:pt idx="711">
                  <c:v>45502</c:v>
                </c:pt>
                <c:pt idx="712">
                  <c:v>45503</c:v>
                </c:pt>
                <c:pt idx="713">
                  <c:v>45504</c:v>
                </c:pt>
                <c:pt idx="714">
                  <c:v>45505</c:v>
                </c:pt>
                <c:pt idx="715">
                  <c:v>45506</c:v>
                </c:pt>
                <c:pt idx="716">
                  <c:v>45509</c:v>
                </c:pt>
                <c:pt idx="717">
                  <c:v>45510</c:v>
                </c:pt>
                <c:pt idx="718">
                  <c:v>45511</c:v>
                </c:pt>
                <c:pt idx="719">
                  <c:v>45512</c:v>
                </c:pt>
                <c:pt idx="720">
                  <c:v>45513</c:v>
                </c:pt>
                <c:pt idx="721">
                  <c:v>45516</c:v>
                </c:pt>
                <c:pt idx="722">
                  <c:v>45517</c:v>
                </c:pt>
                <c:pt idx="723">
                  <c:v>45518</c:v>
                </c:pt>
                <c:pt idx="724">
                  <c:v>45520</c:v>
                </c:pt>
                <c:pt idx="725">
                  <c:v>45523</c:v>
                </c:pt>
                <c:pt idx="726">
                  <c:v>45524</c:v>
                </c:pt>
                <c:pt idx="727">
                  <c:v>45525</c:v>
                </c:pt>
                <c:pt idx="728">
                  <c:v>45526</c:v>
                </c:pt>
                <c:pt idx="729">
                  <c:v>45527</c:v>
                </c:pt>
                <c:pt idx="730">
                  <c:v>45530</c:v>
                </c:pt>
                <c:pt idx="731">
                  <c:v>45531</c:v>
                </c:pt>
                <c:pt idx="732">
                  <c:v>45532</c:v>
                </c:pt>
                <c:pt idx="733">
                  <c:v>45533</c:v>
                </c:pt>
                <c:pt idx="734">
                  <c:v>45534</c:v>
                </c:pt>
                <c:pt idx="735">
                  <c:v>45537</c:v>
                </c:pt>
                <c:pt idx="736">
                  <c:v>45538</c:v>
                </c:pt>
                <c:pt idx="737">
                  <c:v>45539</c:v>
                </c:pt>
                <c:pt idx="738">
                  <c:v>45540</c:v>
                </c:pt>
                <c:pt idx="739">
                  <c:v>45541</c:v>
                </c:pt>
                <c:pt idx="740">
                  <c:v>45544</c:v>
                </c:pt>
                <c:pt idx="741">
                  <c:v>45545</c:v>
                </c:pt>
                <c:pt idx="742">
                  <c:v>45546</c:v>
                </c:pt>
                <c:pt idx="743">
                  <c:v>45547</c:v>
                </c:pt>
                <c:pt idx="744">
                  <c:v>45548</c:v>
                </c:pt>
                <c:pt idx="745">
                  <c:v>45551</c:v>
                </c:pt>
                <c:pt idx="746">
                  <c:v>45552</c:v>
                </c:pt>
                <c:pt idx="747">
                  <c:v>45553</c:v>
                </c:pt>
                <c:pt idx="748">
                  <c:v>45554</c:v>
                </c:pt>
                <c:pt idx="749">
                  <c:v>45555</c:v>
                </c:pt>
                <c:pt idx="750">
                  <c:v>45558</c:v>
                </c:pt>
                <c:pt idx="751">
                  <c:v>45559</c:v>
                </c:pt>
                <c:pt idx="752">
                  <c:v>45560</c:v>
                </c:pt>
                <c:pt idx="753">
                  <c:v>45561</c:v>
                </c:pt>
                <c:pt idx="754">
                  <c:v>45562</c:v>
                </c:pt>
                <c:pt idx="755">
                  <c:v>45565</c:v>
                </c:pt>
                <c:pt idx="756">
                  <c:v>45566</c:v>
                </c:pt>
                <c:pt idx="757">
                  <c:v>45568</c:v>
                </c:pt>
                <c:pt idx="758">
                  <c:v>45569</c:v>
                </c:pt>
                <c:pt idx="759">
                  <c:v>45572</c:v>
                </c:pt>
                <c:pt idx="760">
                  <c:v>45573</c:v>
                </c:pt>
                <c:pt idx="761">
                  <c:v>45574</c:v>
                </c:pt>
                <c:pt idx="762">
                  <c:v>45575</c:v>
                </c:pt>
                <c:pt idx="763">
                  <c:v>45576</c:v>
                </c:pt>
                <c:pt idx="764">
                  <c:v>45579</c:v>
                </c:pt>
                <c:pt idx="765">
                  <c:v>45580</c:v>
                </c:pt>
                <c:pt idx="766">
                  <c:v>45581</c:v>
                </c:pt>
                <c:pt idx="767">
                  <c:v>45582</c:v>
                </c:pt>
                <c:pt idx="768">
                  <c:v>45583</c:v>
                </c:pt>
                <c:pt idx="769">
                  <c:v>45586</c:v>
                </c:pt>
                <c:pt idx="770">
                  <c:v>45587</c:v>
                </c:pt>
                <c:pt idx="771">
                  <c:v>45588</c:v>
                </c:pt>
                <c:pt idx="772">
                  <c:v>45589</c:v>
                </c:pt>
                <c:pt idx="773">
                  <c:v>45590</c:v>
                </c:pt>
                <c:pt idx="774">
                  <c:v>45593</c:v>
                </c:pt>
                <c:pt idx="775">
                  <c:v>45594</c:v>
                </c:pt>
                <c:pt idx="776">
                  <c:v>45595</c:v>
                </c:pt>
                <c:pt idx="777">
                  <c:v>45596</c:v>
                </c:pt>
                <c:pt idx="778">
                  <c:v>45597</c:v>
                </c:pt>
                <c:pt idx="779">
                  <c:v>45600</c:v>
                </c:pt>
                <c:pt idx="780">
                  <c:v>45601</c:v>
                </c:pt>
                <c:pt idx="781">
                  <c:v>45602</c:v>
                </c:pt>
                <c:pt idx="782">
                  <c:v>45603</c:v>
                </c:pt>
                <c:pt idx="783">
                  <c:v>45604</c:v>
                </c:pt>
                <c:pt idx="784">
                  <c:v>45607</c:v>
                </c:pt>
                <c:pt idx="785">
                  <c:v>45608</c:v>
                </c:pt>
                <c:pt idx="786">
                  <c:v>45609</c:v>
                </c:pt>
                <c:pt idx="787">
                  <c:v>45610</c:v>
                </c:pt>
                <c:pt idx="788">
                  <c:v>45614</c:v>
                </c:pt>
                <c:pt idx="789">
                  <c:v>45615</c:v>
                </c:pt>
                <c:pt idx="790">
                  <c:v>45617</c:v>
                </c:pt>
                <c:pt idx="791">
                  <c:v>45618</c:v>
                </c:pt>
                <c:pt idx="792">
                  <c:v>45621</c:v>
                </c:pt>
                <c:pt idx="793">
                  <c:v>45622</c:v>
                </c:pt>
                <c:pt idx="794">
                  <c:v>45623</c:v>
                </c:pt>
                <c:pt idx="795">
                  <c:v>45624</c:v>
                </c:pt>
                <c:pt idx="796">
                  <c:v>45625</c:v>
                </c:pt>
                <c:pt idx="797">
                  <c:v>45628</c:v>
                </c:pt>
                <c:pt idx="798">
                  <c:v>45629</c:v>
                </c:pt>
                <c:pt idx="799">
                  <c:v>45630</c:v>
                </c:pt>
                <c:pt idx="800">
                  <c:v>45631</c:v>
                </c:pt>
                <c:pt idx="801">
                  <c:v>45632</c:v>
                </c:pt>
                <c:pt idx="802">
                  <c:v>45635</c:v>
                </c:pt>
                <c:pt idx="803">
                  <c:v>45636</c:v>
                </c:pt>
                <c:pt idx="804">
                  <c:v>45637</c:v>
                </c:pt>
                <c:pt idx="805">
                  <c:v>45638</c:v>
                </c:pt>
                <c:pt idx="806">
                  <c:v>45639</c:v>
                </c:pt>
                <c:pt idx="807">
                  <c:v>45642</c:v>
                </c:pt>
                <c:pt idx="808">
                  <c:v>45643</c:v>
                </c:pt>
                <c:pt idx="809">
                  <c:v>45644</c:v>
                </c:pt>
                <c:pt idx="810">
                  <c:v>45645</c:v>
                </c:pt>
                <c:pt idx="811">
                  <c:v>45646</c:v>
                </c:pt>
                <c:pt idx="812">
                  <c:v>45649</c:v>
                </c:pt>
                <c:pt idx="813">
                  <c:v>45650</c:v>
                </c:pt>
                <c:pt idx="814">
                  <c:v>45652</c:v>
                </c:pt>
                <c:pt idx="815">
                  <c:v>45653</c:v>
                </c:pt>
                <c:pt idx="816">
                  <c:v>45656</c:v>
                </c:pt>
                <c:pt idx="817">
                  <c:v>45657</c:v>
                </c:pt>
                <c:pt idx="818">
                  <c:v>45658</c:v>
                </c:pt>
                <c:pt idx="819">
                  <c:v>45659</c:v>
                </c:pt>
                <c:pt idx="820">
                  <c:v>45660</c:v>
                </c:pt>
                <c:pt idx="821">
                  <c:v>45663</c:v>
                </c:pt>
                <c:pt idx="822">
                  <c:v>45664</c:v>
                </c:pt>
                <c:pt idx="823">
                  <c:v>45665</c:v>
                </c:pt>
                <c:pt idx="824">
                  <c:v>45666</c:v>
                </c:pt>
                <c:pt idx="825">
                  <c:v>45667</c:v>
                </c:pt>
                <c:pt idx="826">
                  <c:v>45670</c:v>
                </c:pt>
                <c:pt idx="827">
                  <c:v>45671</c:v>
                </c:pt>
                <c:pt idx="828">
                  <c:v>45672</c:v>
                </c:pt>
                <c:pt idx="829">
                  <c:v>45673</c:v>
                </c:pt>
                <c:pt idx="830">
                  <c:v>45674</c:v>
                </c:pt>
                <c:pt idx="831">
                  <c:v>45677</c:v>
                </c:pt>
                <c:pt idx="832">
                  <c:v>45678</c:v>
                </c:pt>
                <c:pt idx="833">
                  <c:v>45679</c:v>
                </c:pt>
                <c:pt idx="834">
                  <c:v>45680</c:v>
                </c:pt>
                <c:pt idx="835">
                  <c:v>45681</c:v>
                </c:pt>
                <c:pt idx="836">
                  <c:v>45684</c:v>
                </c:pt>
                <c:pt idx="837">
                  <c:v>45685</c:v>
                </c:pt>
                <c:pt idx="838">
                  <c:v>45686</c:v>
                </c:pt>
                <c:pt idx="839">
                  <c:v>45687</c:v>
                </c:pt>
                <c:pt idx="840">
                  <c:v>45688</c:v>
                </c:pt>
                <c:pt idx="841">
                  <c:v>45691</c:v>
                </c:pt>
                <c:pt idx="842">
                  <c:v>45692</c:v>
                </c:pt>
                <c:pt idx="843">
                  <c:v>45693</c:v>
                </c:pt>
                <c:pt idx="844">
                  <c:v>45694</c:v>
                </c:pt>
                <c:pt idx="845">
                  <c:v>45695</c:v>
                </c:pt>
                <c:pt idx="846">
                  <c:v>45698</c:v>
                </c:pt>
                <c:pt idx="847">
                  <c:v>45699</c:v>
                </c:pt>
                <c:pt idx="848">
                  <c:v>45700</c:v>
                </c:pt>
                <c:pt idx="849">
                  <c:v>45701</c:v>
                </c:pt>
                <c:pt idx="850">
                  <c:v>45702</c:v>
                </c:pt>
                <c:pt idx="851">
                  <c:v>45705</c:v>
                </c:pt>
                <c:pt idx="852">
                  <c:v>45706</c:v>
                </c:pt>
                <c:pt idx="853">
                  <c:v>45707</c:v>
                </c:pt>
                <c:pt idx="854">
                  <c:v>45708</c:v>
                </c:pt>
                <c:pt idx="855">
                  <c:v>45709</c:v>
                </c:pt>
                <c:pt idx="856">
                  <c:v>45712</c:v>
                </c:pt>
                <c:pt idx="857">
                  <c:v>45713</c:v>
                </c:pt>
                <c:pt idx="858">
                  <c:v>45715</c:v>
                </c:pt>
                <c:pt idx="859">
                  <c:v>45716</c:v>
                </c:pt>
                <c:pt idx="860">
                  <c:v>45719</c:v>
                </c:pt>
                <c:pt idx="861">
                  <c:v>45720</c:v>
                </c:pt>
                <c:pt idx="862">
                  <c:v>45721</c:v>
                </c:pt>
                <c:pt idx="863">
                  <c:v>45722</c:v>
                </c:pt>
                <c:pt idx="864">
                  <c:v>45723</c:v>
                </c:pt>
                <c:pt idx="865">
                  <c:v>45726</c:v>
                </c:pt>
                <c:pt idx="866">
                  <c:v>45727</c:v>
                </c:pt>
                <c:pt idx="867">
                  <c:v>45728</c:v>
                </c:pt>
                <c:pt idx="868">
                  <c:v>45729</c:v>
                </c:pt>
                <c:pt idx="869">
                  <c:v>45733</c:v>
                </c:pt>
                <c:pt idx="870">
                  <c:v>45734</c:v>
                </c:pt>
                <c:pt idx="871">
                  <c:v>45735</c:v>
                </c:pt>
                <c:pt idx="872">
                  <c:v>45736</c:v>
                </c:pt>
                <c:pt idx="873">
                  <c:v>45737</c:v>
                </c:pt>
                <c:pt idx="874">
                  <c:v>45740</c:v>
                </c:pt>
                <c:pt idx="875">
                  <c:v>45741</c:v>
                </c:pt>
                <c:pt idx="876">
                  <c:v>45742</c:v>
                </c:pt>
                <c:pt idx="877">
                  <c:v>45743</c:v>
                </c:pt>
                <c:pt idx="878">
                  <c:v>45744</c:v>
                </c:pt>
                <c:pt idx="879">
                  <c:v>45748</c:v>
                </c:pt>
                <c:pt idx="880">
                  <c:v>45749</c:v>
                </c:pt>
                <c:pt idx="881">
                  <c:v>45750</c:v>
                </c:pt>
                <c:pt idx="882">
                  <c:v>45751</c:v>
                </c:pt>
                <c:pt idx="883">
                  <c:v>45754</c:v>
                </c:pt>
                <c:pt idx="884">
                  <c:v>45755</c:v>
                </c:pt>
                <c:pt idx="885">
                  <c:v>45756</c:v>
                </c:pt>
                <c:pt idx="886">
                  <c:v>45758</c:v>
                </c:pt>
                <c:pt idx="887">
                  <c:v>45762</c:v>
                </c:pt>
                <c:pt idx="888">
                  <c:v>45763</c:v>
                </c:pt>
                <c:pt idx="889">
                  <c:v>45764</c:v>
                </c:pt>
                <c:pt idx="890">
                  <c:v>45768</c:v>
                </c:pt>
                <c:pt idx="891">
                  <c:v>45769</c:v>
                </c:pt>
                <c:pt idx="892">
                  <c:v>45770</c:v>
                </c:pt>
                <c:pt idx="893">
                  <c:v>45771</c:v>
                </c:pt>
                <c:pt idx="894">
                  <c:v>45772</c:v>
                </c:pt>
                <c:pt idx="895">
                  <c:v>45775</c:v>
                </c:pt>
                <c:pt idx="896">
                  <c:v>45776</c:v>
                </c:pt>
                <c:pt idx="897">
                  <c:v>45777</c:v>
                </c:pt>
                <c:pt idx="898">
                  <c:v>45779</c:v>
                </c:pt>
                <c:pt idx="899">
                  <c:v>45782</c:v>
                </c:pt>
                <c:pt idx="900">
                  <c:v>45783</c:v>
                </c:pt>
                <c:pt idx="901">
                  <c:v>45784</c:v>
                </c:pt>
                <c:pt idx="902">
                  <c:v>45785</c:v>
                </c:pt>
                <c:pt idx="903">
                  <c:v>45786</c:v>
                </c:pt>
                <c:pt idx="904">
                  <c:v>45789</c:v>
                </c:pt>
                <c:pt idx="905">
                  <c:v>45790</c:v>
                </c:pt>
                <c:pt idx="906">
                  <c:v>45791</c:v>
                </c:pt>
                <c:pt idx="907">
                  <c:v>45792</c:v>
                </c:pt>
                <c:pt idx="908">
                  <c:v>45793</c:v>
                </c:pt>
                <c:pt idx="909">
                  <c:v>45796</c:v>
                </c:pt>
                <c:pt idx="910">
                  <c:v>45797</c:v>
                </c:pt>
                <c:pt idx="911">
                  <c:v>45798</c:v>
                </c:pt>
                <c:pt idx="912">
                  <c:v>45799</c:v>
                </c:pt>
                <c:pt idx="913">
                  <c:v>45800</c:v>
                </c:pt>
                <c:pt idx="914">
                  <c:v>45803</c:v>
                </c:pt>
                <c:pt idx="915">
                  <c:v>45804</c:v>
                </c:pt>
                <c:pt idx="916">
                  <c:v>45805</c:v>
                </c:pt>
                <c:pt idx="917">
                  <c:v>45806</c:v>
                </c:pt>
                <c:pt idx="918">
                  <c:v>45807</c:v>
                </c:pt>
                <c:pt idx="919">
                  <c:v>45810</c:v>
                </c:pt>
                <c:pt idx="920">
                  <c:v>45811</c:v>
                </c:pt>
                <c:pt idx="921">
                  <c:v>45812</c:v>
                </c:pt>
                <c:pt idx="922">
                  <c:v>45813</c:v>
                </c:pt>
                <c:pt idx="923">
                  <c:v>45814</c:v>
                </c:pt>
                <c:pt idx="924">
                  <c:v>45817</c:v>
                </c:pt>
                <c:pt idx="925">
                  <c:v>45818</c:v>
                </c:pt>
                <c:pt idx="926">
                  <c:v>45819</c:v>
                </c:pt>
                <c:pt idx="927">
                  <c:v>45820</c:v>
                </c:pt>
                <c:pt idx="928">
                  <c:v>45821</c:v>
                </c:pt>
                <c:pt idx="929">
                  <c:v>45824</c:v>
                </c:pt>
                <c:pt idx="930">
                  <c:v>45825</c:v>
                </c:pt>
                <c:pt idx="931">
                  <c:v>45826</c:v>
                </c:pt>
                <c:pt idx="932">
                  <c:v>45827</c:v>
                </c:pt>
                <c:pt idx="933">
                  <c:v>45828</c:v>
                </c:pt>
                <c:pt idx="934">
                  <c:v>45831</c:v>
                </c:pt>
                <c:pt idx="935">
                  <c:v>45832</c:v>
                </c:pt>
                <c:pt idx="936">
                  <c:v>45833</c:v>
                </c:pt>
                <c:pt idx="937">
                  <c:v>45834</c:v>
                </c:pt>
                <c:pt idx="938">
                  <c:v>45835</c:v>
                </c:pt>
                <c:pt idx="939">
                  <c:v>45838</c:v>
                </c:pt>
                <c:pt idx="940">
                  <c:v>45839</c:v>
                </c:pt>
                <c:pt idx="941">
                  <c:v>45840</c:v>
                </c:pt>
                <c:pt idx="942">
                  <c:v>45841</c:v>
                </c:pt>
                <c:pt idx="943">
                  <c:v>45842</c:v>
                </c:pt>
                <c:pt idx="944">
                  <c:v>45845</c:v>
                </c:pt>
                <c:pt idx="945">
                  <c:v>45846</c:v>
                </c:pt>
                <c:pt idx="946">
                  <c:v>45847</c:v>
                </c:pt>
                <c:pt idx="947">
                  <c:v>45848</c:v>
                </c:pt>
                <c:pt idx="948">
                  <c:v>45849</c:v>
                </c:pt>
                <c:pt idx="949">
                  <c:v>45852</c:v>
                </c:pt>
                <c:pt idx="950">
                  <c:v>45853</c:v>
                </c:pt>
                <c:pt idx="951">
                  <c:v>45854</c:v>
                </c:pt>
                <c:pt idx="952">
                  <c:v>45855</c:v>
                </c:pt>
                <c:pt idx="953">
                  <c:v>45856</c:v>
                </c:pt>
                <c:pt idx="954">
                  <c:v>45859</c:v>
                </c:pt>
                <c:pt idx="955">
                  <c:v>45860</c:v>
                </c:pt>
                <c:pt idx="956">
                  <c:v>45861</c:v>
                </c:pt>
                <c:pt idx="957">
                  <c:v>45862</c:v>
                </c:pt>
                <c:pt idx="958">
                  <c:v>45863</c:v>
                </c:pt>
                <c:pt idx="959">
                  <c:v>45866</c:v>
                </c:pt>
                <c:pt idx="960">
                  <c:v>45867</c:v>
                </c:pt>
                <c:pt idx="961">
                  <c:v>45868</c:v>
                </c:pt>
                <c:pt idx="962">
                  <c:v>45869</c:v>
                </c:pt>
                <c:pt idx="963">
                  <c:v>45870</c:v>
                </c:pt>
                <c:pt idx="964">
                  <c:v>45873</c:v>
                </c:pt>
                <c:pt idx="965">
                  <c:v>45874</c:v>
                </c:pt>
                <c:pt idx="966">
                  <c:v>45875</c:v>
                </c:pt>
                <c:pt idx="967">
                  <c:v>45876</c:v>
                </c:pt>
                <c:pt idx="968">
                  <c:v>45877</c:v>
                </c:pt>
                <c:pt idx="969">
                  <c:v>45880</c:v>
                </c:pt>
                <c:pt idx="970">
                  <c:v>45881</c:v>
                </c:pt>
                <c:pt idx="971">
                  <c:v>45882</c:v>
                </c:pt>
                <c:pt idx="972">
                  <c:v>45883</c:v>
                </c:pt>
                <c:pt idx="973">
                  <c:v>45887</c:v>
                </c:pt>
                <c:pt idx="974">
                  <c:v>45888</c:v>
                </c:pt>
                <c:pt idx="975">
                  <c:v>45889</c:v>
                </c:pt>
                <c:pt idx="976">
                  <c:v>45890</c:v>
                </c:pt>
                <c:pt idx="977">
                  <c:v>45891</c:v>
                </c:pt>
                <c:pt idx="978">
                  <c:v>45894</c:v>
                </c:pt>
                <c:pt idx="979">
                  <c:v>45895</c:v>
                </c:pt>
                <c:pt idx="980">
                  <c:v>45897</c:v>
                </c:pt>
                <c:pt idx="981">
                  <c:v>45898</c:v>
                </c:pt>
                <c:pt idx="982">
                  <c:v>45901</c:v>
                </c:pt>
                <c:pt idx="983">
                  <c:v>45902</c:v>
                </c:pt>
                <c:pt idx="984">
                  <c:v>45903</c:v>
                </c:pt>
                <c:pt idx="985">
                  <c:v>45904</c:v>
                </c:pt>
                <c:pt idx="986">
                  <c:v>45905</c:v>
                </c:pt>
                <c:pt idx="987">
                  <c:v>45908</c:v>
                </c:pt>
                <c:pt idx="988">
                  <c:v>45909</c:v>
                </c:pt>
                <c:pt idx="989">
                  <c:v>45910</c:v>
                </c:pt>
                <c:pt idx="990">
                  <c:v>45911</c:v>
                </c:pt>
                <c:pt idx="991">
                  <c:v>45912</c:v>
                </c:pt>
                <c:pt idx="992">
                  <c:v>45915</c:v>
                </c:pt>
                <c:pt idx="993">
                  <c:v>45916</c:v>
                </c:pt>
                <c:pt idx="994">
                  <c:v>45917</c:v>
                </c:pt>
                <c:pt idx="995">
                  <c:v>45918</c:v>
                </c:pt>
                <c:pt idx="996">
                  <c:v>45919</c:v>
                </c:pt>
                <c:pt idx="997">
                  <c:v>45922</c:v>
                </c:pt>
                <c:pt idx="998">
                  <c:v>45923</c:v>
                </c:pt>
                <c:pt idx="999">
                  <c:v>45924</c:v>
                </c:pt>
                <c:pt idx="1000">
                  <c:v>45925</c:v>
                </c:pt>
                <c:pt idx="1001">
                  <c:v>45926</c:v>
                </c:pt>
                <c:pt idx="1002">
                  <c:v>45929</c:v>
                </c:pt>
                <c:pt idx="1003">
                  <c:v>45930</c:v>
                </c:pt>
                <c:pt idx="1004">
                  <c:v>45931</c:v>
                </c:pt>
                <c:pt idx="1005">
                  <c:v>45933</c:v>
                </c:pt>
                <c:pt idx="1006">
                  <c:v>45936</c:v>
                </c:pt>
                <c:pt idx="1007">
                  <c:v>45937</c:v>
                </c:pt>
                <c:pt idx="1008">
                  <c:v>45938</c:v>
                </c:pt>
                <c:pt idx="1009">
                  <c:v>45939</c:v>
                </c:pt>
                <c:pt idx="1010">
                  <c:v>45940</c:v>
                </c:pt>
                <c:pt idx="1011">
                  <c:v>45943</c:v>
                </c:pt>
                <c:pt idx="1012">
                  <c:v>45944</c:v>
                </c:pt>
                <c:pt idx="1013">
                  <c:v>45945</c:v>
                </c:pt>
                <c:pt idx="1014">
                  <c:v>45946</c:v>
                </c:pt>
                <c:pt idx="1015">
                  <c:v>45947</c:v>
                </c:pt>
                <c:pt idx="1016">
                  <c:v>45950</c:v>
                </c:pt>
                <c:pt idx="1017">
                  <c:v>45951</c:v>
                </c:pt>
                <c:pt idx="1018">
                  <c:v>45953</c:v>
                </c:pt>
                <c:pt idx="1019">
                  <c:v>45954</c:v>
                </c:pt>
                <c:pt idx="1020">
                  <c:v>45957</c:v>
                </c:pt>
                <c:pt idx="1021">
                  <c:v>45958</c:v>
                </c:pt>
                <c:pt idx="1022">
                  <c:v>45959</c:v>
                </c:pt>
                <c:pt idx="1023">
                  <c:v>45960</c:v>
                </c:pt>
                <c:pt idx="1024">
                  <c:v>45961</c:v>
                </c:pt>
                <c:pt idx="1025">
                  <c:v>45964</c:v>
                </c:pt>
                <c:pt idx="1026">
                  <c:v>45965</c:v>
                </c:pt>
                <c:pt idx="1027">
                  <c:v>45967</c:v>
                </c:pt>
                <c:pt idx="1028">
                  <c:v>45968</c:v>
                </c:pt>
                <c:pt idx="1029">
                  <c:v>45971</c:v>
                </c:pt>
                <c:pt idx="1030">
                  <c:v>45972</c:v>
                </c:pt>
                <c:pt idx="1031">
                  <c:v>45973</c:v>
                </c:pt>
                <c:pt idx="1032">
                  <c:v>45974</c:v>
                </c:pt>
                <c:pt idx="1033">
                  <c:v>45975</c:v>
                </c:pt>
                <c:pt idx="1034">
                  <c:v>45978</c:v>
                </c:pt>
                <c:pt idx="1035">
                  <c:v>45979</c:v>
                </c:pt>
                <c:pt idx="1036">
                  <c:v>45980</c:v>
                </c:pt>
                <c:pt idx="1037">
                  <c:v>45981</c:v>
                </c:pt>
                <c:pt idx="1038">
                  <c:v>45982</c:v>
                </c:pt>
                <c:pt idx="1039">
                  <c:v>45985</c:v>
                </c:pt>
                <c:pt idx="1040">
                  <c:v>45986</c:v>
                </c:pt>
                <c:pt idx="1041">
                  <c:v>45987</c:v>
                </c:pt>
                <c:pt idx="1042">
                  <c:v>45988</c:v>
                </c:pt>
                <c:pt idx="1043">
                  <c:v>45989</c:v>
                </c:pt>
                <c:pt idx="1044">
                  <c:v>45992</c:v>
                </c:pt>
                <c:pt idx="1045">
                  <c:v>45993</c:v>
                </c:pt>
                <c:pt idx="1046">
                  <c:v>45994</c:v>
                </c:pt>
                <c:pt idx="1047">
                  <c:v>45995</c:v>
                </c:pt>
                <c:pt idx="1048">
                  <c:v>45996</c:v>
                </c:pt>
                <c:pt idx="1049">
                  <c:v>45999</c:v>
                </c:pt>
                <c:pt idx="1050">
                  <c:v>46000</c:v>
                </c:pt>
                <c:pt idx="1051">
                  <c:v>46001</c:v>
                </c:pt>
                <c:pt idx="1052">
                  <c:v>46002</c:v>
                </c:pt>
                <c:pt idx="1053">
                  <c:v>46003</c:v>
                </c:pt>
                <c:pt idx="1054">
                  <c:v>46006</c:v>
                </c:pt>
                <c:pt idx="1055">
                  <c:v>46007</c:v>
                </c:pt>
                <c:pt idx="1056">
                  <c:v>46008</c:v>
                </c:pt>
                <c:pt idx="1057">
                  <c:v>46009</c:v>
                </c:pt>
                <c:pt idx="1058">
                  <c:v>46010</c:v>
                </c:pt>
                <c:pt idx="1059">
                  <c:v>46013</c:v>
                </c:pt>
                <c:pt idx="1060">
                  <c:v>46014</c:v>
                </c:pt>
                <c:pt idx="1061">
                  <c:v>46015</c:v>
                </c:pt>
                <c:pt idx="1062">
                  <c:v>46017</c:v>
                </c:pt>
                <c:pt idx="1063">
                  <c:v>46020</c:v>
                </c:pt>
                <c:pt idx="1064">
                  <c:v>46021</c:v>
                </c:pt>
                <c:pt idx="1065">
                  <c:v>46022</c:v>
                </c:pt>
                <c:pt idx="1066">
                  <c:v>46023</c:v>
                </c:pt>
                <c:pt idx="1067">
                  <c:v>46024</c:v>
                </c:pt>
                <c:pt idx="1068">
                  <c:v>46027</c:v>
                </c:pt>
                <c:pt idx="1069">
                  <c:v>46028</c:v>
                </c:pt>
                <c:pt idx="1070">
                  <c:v>46029</c:v>
                </c:pt>
                <c:pt idx="1071">
                  <c:v>46030</c:v>
                </c:pt>
                <c:pt idx="1072">
                  <c:v>46031</c:v>
                </c:pt>
                <c:pt idx="1073">
                  <c:v>46034</c:v>
                </c:pt>
                <c:pt idx="1074">
                  <c:v>46035</c:v>
                </c:pt>
                <c:pt idx="1075">
                  <c:v>46036</c:v>
                </c:pt>
                <c:pt idx="1076">
                  <c:v>46038</c:v>
                </c:pt>
                <c:pt idx="1077">
                  <c:v>46041</c:v>
                </c:pt>
                <c:pt idx="1078">
                  <c:v>46042</c:v>
                </c:pt>
                <c:pt idx="1079">
                  <c:v>46043</c:v>
                </c:pt>
                <c:pt idx="1080">
                  <c:v>46044</c:v>
                </c:pt>
                <c:pt idx="1081">
                  <c:v>46045</c:v>
                </c:pt>
                <c:pt idx="1082">
                  <c:v>46049</c:v>
                </c:pt>
                <c:pt idx="1083">
                  <c:v>46050</c:v>
                </c:pt>
                <c:pt idx="1084">
                  <c:v>46051</c:v>
                </c:pt>
                <c:pt idx="1085">
                  <c:v>46052</c:v>
                </c:pt>
                <c:pt idx="1086">
                  <c:v>46055</c:v>
                </c:pt>
                <c:pt idx="1087">
                  <c:v>46056</c:v>
                </c:pt>
                <c:pt idx="1088">
                  <c:v>46057</c:v>
                </c:pt>
                <c:pt idx="1089">
                  <c:v>46058</c:v>
                </c:pt>
                <c:pt idx="1090">
                  <c:v>46059</c:v>
                </c:pt>
                <c:pt idx="1091">
                  <c:v>46062</c:v>
                </c:pt>
                <c:pt idx="1092">
                  <c:v>46063</c:v>
                </c:pt>
                <c:pt idx="1093">
                  <c:v>46064</c:v>
                </c:pt>
                <c:pt idx="1094">
                  <c:v>46065</c:v>
                </c:pt>
                <c:pt idx="1095">
                  <c:v>46066</c:v>
                </c:pt>
                <c:pt idx="1096">
                  <c:v>46069</c:v>
                </c:pt>
                <c:pt idx="1097">
                  <c:v>46070</c:v>
                </c:pt>
                <c:pt idx="1098">
                  <c:v>46071</c:v>
                </c:pt>
                <c:pt idx="1099">
                  <c:v>46072</c:v>
                </c:pt>
                <c:pt idx="1100">
                  <c:v>46073</c:v>
                </c:pt>
                <c:pt idx="1101">
                  <c:v>46076</c:v>
                </c:pt>
                <c:pt idx="1102">
                  <c:v>46077</c:v>
                </c:pt>
                <c:pt idx="1103">
                  <c:v>46078</c:v>
                </c:pt>
                <c:pt idx="1104">
                  <c:v>46079</c:v>
                </c:pt>
                <c:pt idx="1105">
                  <c:v>46080</c:v>
                </c:pt>
                <c:pt idx="1106">
                  <c:v>46083</c:v>
                </c:pt>
                <c:pt idx="1107">
                  <c:v>46085</c:v>
                </c:pt>
                <c:pt idx="1108">
                  <c:v>46086</c:v>
                </c:pt>
                <c:pt idx="1109">
                  <c:v>46087</c:v>
                </c:pt>
                <c:pt idx="1110">
                  <c:v>46090</c:v>
                </c:pt>
                <c:pt idx="1111">
                  <c:v>46091</c:v>
                </c:pt>
                <c:pt idx="1112">
                  <c:v>46092</c:v>
                </c:pt>
                <c:pt idx="1113">
                  <c:v>46093</c:v>
                </c:pt>
                <c:pt idx="1114">
                  <c:v>46094</c:v>
                </c:pt>
                <c:pt idx="1115">
                  <c:v>46097</c:v>
                </c:pt>
                <c:pt idx="1116">
                  <c:v>46098</c:v>
                </c:pt>
                <c:pt idx="1117">
                  <c:v>46099</c:v>
                </c:pt>
                <c:pt idx="1118">
                  <c:v>46100</c:v>
                </c:pt>
                <c:pt idx="1119">
                  <c:v>46101</c:v>
                </c:pt>
                <c:pt idx="1120">
                  <c:v>46104</c:v>
                </c:pt>
                <c:pt idx="1121">
                  <c:v>46105</c:v>
                </c:pt>
                <c:pt idx="1122">
                  <c:v>46106</c:v>
                </c:pt>
                <c:pt idx="1123">
                  <c:v>46108</c:v>
                </c:pt>
                <c:pt idx="1124">
                  <c:v>46111</c:v>
                </c:pt>
                <c:pt idx="1125">
                  <c:v>46113</c:v>
                </c:pt>
                <c:pt idx="1126">
                  <c:v>46114</c:v>
                </c:pt>
                <c:pt idx="1127">
                  <c:v>46118</c:v>
                </c:pt>
                <c:pt idx="1128">
                  <c:v>46119</c:v>
                </c:pt>
                <c:pt idx="1129">
                  <c:v>46120</c:v>
                </c:pt>
                <c:pt idx="1130">
                  <c:v>46121</c:v>
                </c:pt>
                <c:pt idx="1131">
                  <c:v>46122</c:v>
                </c:pt>
                <c:pt idx="1132">
                  <c:v>46125</c:v>
                </c:pt>
                <c:pt idx="1133">
                  <c:v>46127</c:v>
                </c:pt>
                <c:pt idx="1134">
                  <c:v>46128</c:v>
                </c:pt>
                <c:pt idx="1135">
                  <c:v>46129</c:v>
                </c:pt>
                <c:pt idx="1136">
                  <c:v>46132</c:v>
                </c:pt>
                <c:pt idx="1137">
                  <c:v>46133</c:v>
                </c:pt>
                <c:pt idx="1138">
                  <c:v>46134</c:v>
                </c:pt>
                <c:pt idx="1139">
                  <c:v>46135</c:v>
                </c:pt>
                <c:pt idx="1140">
                  <c:v>46136</c:v>
                </c:pt>
                <c:pt idx="1141">
                  <c:v>46139</c:v>
                </c:pt>
                <c:pt idx="1142">
                  <c:v>46140</c:v>
                </c:pt>
                <c:pt idx="1143">
                  <c:v>46141</c:v>
                </c:pt>
                <c:pt idx="1144">
                  <c:v>46142</c:v>
                </c:pt>
                <c:pt idx="1145">
                  <c:v>46146</c:v>
                </c:pt>
                <c:pt idx="1146">
                  <c:v>46147</c:v>
                </c:pt>
                <c:pt idx="1147">
                  <c:v>46148</c:v>
                </c:pt>
                <c:pt idx="1148">
                  <c:v>46149</c:v>
                </c:pt>
                <c:pt idx="1149">
                  <c:v>46150</c:v>
                </c:pt>
                <c:pt idx="1150">
                  <c:v>46153</c:v>
                </c:pt>
                <c:pt idx="1151">
                  <c:v>46154</c:v>
                </c:pt>
                <c:pt idx="1152">
                  <c:v>46155</c:v>
                </c:pt>
                <c:pt idx="1153">
                  <c:v>46156</c:v>
                </c:pt>
                <c:pt idx="1154">
                  <c:v>46157</c:v>
                </c:pt>
                <c:pt idx="1155">
                  <c:v>46160</c:v>
                </c:pt>
                <c:pt idx="1156">
                  <c:v>46161</c:v>
                </c:pt>
                <c:pt idx="1157">
                  <c:v>46162</c:v>
                </c:pt>
                <c:pt idx="1158">
                  <c:v>46163</c:v>
                </c:pt>
                <c:pt idx="1159">
                  <c:v>46164</c:v>
                </c:pt>
                <c:pt idx="1160">
                  <c:v>46167</c:v>
                </c:pt>
                <c:pt idx="1161">
                  <c:v>46168</c:v>
                </c:pt>
                <c:pt idx="1162">
                  <c:v>46169</c:v>
                </c:pt>
                <c:pt idx="1163">
                  <c:v>46170</c:v>
                </c:pt>
                <c:pt idx="1164">
                  <c:v>46171</c:v>
                </c:pt>
                <c:pt idx="1165">
                  <c:v>46174</c:v>
                </c:pt>
                <c:pt idx="1166">
                  <c:v>46175</c:v>
                </c:pt>
                <c:pt idx="1167">
                  <c:v>46176</c:v>
                </c:pt>
                <c:pt idx="1168">
                  <c:v>46177</c:v>
                </c:pt>
                <c:pt idx="1169">
                  <c:v>46178</c:v>
                </c:pt>
                <c:pt idx="1170">
                  <c:v>46181</c:v>
                </c:pt>
                <c:pt idx="1171">
                  <c:v>46182</c:v>
                </c:pt>
                <c:pt idx="1172">
                  <c:v>46183</c:v>
                </c:pt>
                <c:pt idx="1173">
                  <c:v>46184</c:v>
                </c:pt>
                <c:pt idx="1174">
                  <c:v>46185</c:v>
                </c:pt>
                <c:pt idx="1175">
                  <c:v>46188</c:v>
                </c:pt>
                <c:pt idx="1176">
                  <c:v>46189</c:v>
                </c:pt>
                <c:pt idx="1177">
                  <c:v>46190</c:v>
                </c:pt>
                <c:pt idx="1178">
                  <c:v>46191</c:v>
                </c:pt>
                <c:pt idx="1179">
                  <c:v>46192</c:v>
                </c:pt>
                <c:pt idx="1180">
                  <c:v>46195</c:v>
                </c:pt>
                <c:pt idx="1181">
                  <c:v>46196</c:v>
                </c:pt>
                <c:pt idx="1182">
                  <c:v>46197</c:v>
                </c:pt>
                <c:pt idx="1183">
                  <c:v>46198</c:v>
                </c:pt>
                <c:pt idx="1184">
                  <c:v>46199</c:v>
                </c:pt>
                <c:pt idx="1185">
                  <c:v>46202</c:v>
                </c:pt>
                <c:pt idx="1186">
                  <c:v>46203</c:v>
                </c:pt>
                <c:pt idx="1187">
                  <c:v>46204</c:v>
                </c:pt>
                <c:pt idx="1188">
                  <c:v>46205</c:v>
                </c:pt>
                <c:pt idx="1189">
                  <c:v>46206</c:v>
                </c:pt>
                <c:pt idx="1190">
                  <c:v>46209</c:v>
                </c:pt>
                <c:pt idx="1191">
                  <c:v>46210</c:v>
                </c:pt>
                <c:pt idx="1192">
                  <c:v>46211</c:v>
                </c:pt>
                <c:pt idx="1193">
                  <c:v>46212</c:v>
                </c:pt>
                <c:pt idx="1194">
                  <c:v>46213</c:v>
                </c:pt>
                <c:pt idx="1195">
                  <c:v>46216</c:v>
                </c:pt>
                <c:pt idx="1196">
                  <c:v>46217</c:v>
                </c:pt>
                <c:pt idx="1197">
                  <c:v>46218</c:v>
                </c:pt>
                <c:pt idx="1198">
                  <c:v>46219</c:v>
                </c:pt>
                <c:pt idx="1199">
                  <c:v>46220</c:v>
                </c:pt>
                <c:pt idx="1200">
                  <c:v>46223</c:v>
                </c:pt>
                <c:pt idx="1201">
                  <c:v>46224</c:v>
                </c:pt>
                <c:pt idx="1202">
                  <c:v>46225</c:v>
                </c:pt>
                <c:pt idx="1203">
                  <c:v>46226</c:v>
                </c:pt>
                <c:pt idx="1204">
                  <c:v>46227</c:v>
                </c:pt>
                <c:pt idx="1205">
                  <c:v>46230</c:v>
                </c:pt>
                <c:pt idx="1206">
                  <c:v>46231</c:v>
                </c:pt>
                <c:pt idx="1207">
                  <c:v>46232</c:v>
                </c:pt>
                <c:pt idx="1208">
                  <c:v>46233</c:v>
                </c:pt>
                <c:pt idx="1209">
                  <c:v>46234</c:v>
                </c:pt>
                <c:pt idx="1210">
                  <c:v>46237</c:v>
                </c:pt>
                <c:pt idx="1211">
                  <c:v>46238</c:v>
                </c:pt>
                <c:pt idx="1212">
                  <c:v>46239</c:v>
                </c:pt>
                <c:pt idx="1213">
                  <c:v>46240</c:v>
                </c:pt>
                <c:pt idx="1214">
                  <c:v>46241</c:v>
                </c:pt>
                <c:pt idx="1215">
                  <c:v>46244</c:v>
                </c:pt>
                <c:pt idx="1216">
                  <c:v>46245</c:v>
                </c:pt>
                <c:pt idx="1217">
                  <c:v>46246</c:v>
                </c:pt>
                <c:pt idx="1218">
                  <c:v>46247</c:v>
                </c:pt>
                <c:pt idx="1219">
                  <c:v>46248</c:v>
                </c:pt>
                <c:pt idx="1220">
                  <c:v>46251</c:v>
                </c:pt>
                <c:pt idx="1221">
                  <c:v>46252</c:v>
                </c:pt>
                <c:pt idx="1222">
                  <c:v>46253</c:v>
                </c:pt>
                <c:pt idx="1223">
                  <c:v>46254</c:v>
                </c:pt>
                <c:pt idx="1224">
                  <c:v>46255</c:v>
                </c:pt>
                <c:pt idx="1225">
                  <c:v>46258</c:v>
                </c:pt>
                <c:pt idx="1226">
                  <c:v>46259</c:v>
                </c:pt>
                <c:pt idx="1227">
                  <c:v>46260</c:v>
                </c:pt>
                <c:pt idx="1228">
                  <c:v>46261</c:v>
                </c:pt>
                <c:pt idx="1229">
                  <c:v>46262</c:v>
                </c:pt>
                <c:pt idx="1230">
                  <c:v>46265</c:v>
                </c:pt>
                <c:pt idx="1231">
                  <c:v>46266</c:v>
                </c:pt>
                <c:pt idx="1232">
                  <c:v>46267</c:v>
                </c:pt>
                <c:pt idx="1233">
                  <c:v>46268</c:v>
                </c:pt>
                <c:pt idx="1234">
                  <c:v>46269</c:v>
                </c:pt>
              </c:numCache>
            </c:numRef>
          </c:cat>
          <c:val>
            <c:numRef>
              <c:f>'OPP Data'!$Q$4:$Q$1238</c:f>
              <c:numCache>
                <c:formatCode>General</c:formatCode>
                <c:ptCount val="1235"/>
                <c:pt idx="0">
                  <c:v>5762.70751953125</c:v>
                </c:pt>
                <c:pt idx="1">
                  <c:v>5746.42041015625</c:v>
                </c:pt>
                <c:pt idx="2">
                  <c:v>5784.267578125</c:v>
                </c:pt>
                <c:pt idx="3">
                  <c:v>5809.46875</c:v>
                </c:pt>
                <c:pt idx="4">
                  <c:v>5792.1552734375</c:v>
                </c:pt>
                <c:pt idx="5">
                  <c:v>5854.0830078125</c:v>
                </c:pt>
                <c:pt idx="6">
                  <c:v>5844.65625</c:v>
                </c:pt>
                <c:pt idx="7">
                  <c:v>5787.7216796875</c:v>
                </c:pt>
                <c:pt idx="8">
                  <c:v>5775.681640625</c:v>
                </c:pt>
                <c:pt idx="9">
                  <c:v>5800.36865234375</c:v>
                </c:pt>
                <c:pt idx="10">
                  <c:v>5773.30078125</c:v>
                </c:pt>
                <c:pt idx="11">
                  <c:v>5790.47509765625</c:v>
                </c:pt>
                <c:pt idx="12">
                  <c:v>5791.31494140625</c:v>
                </c:pt>
                <c:pt idx="13">
                  <c:v>5786.3681640625</c:v>
                </c:pt>
                <c:pt idx="14">
                  <c:v>5783.84814453125</c:v>
                </c:pt>
                <c:pt idx="15">
                  <c:v>5810.822265625</c:v>
                </c:pt>
                <c:pt idx="16">
                  <c:v>5790.33447265625</c:v>
                </c:pt>
                <c:pt idx="17">
                  <c:v>5740.8203125</c:v>
                </c:pt>
                <c:pt idx="18">
                  <c:v>5765.46044921875</c:v>
                </c:pt>
                <c:pt idx="19">
                  <c:v>5744.46044921875</c:v>
                </c:pt>
                <c:pt idx="20">
                  <c:v>5742.8271484375</c:v>
                </c:pt>
                <c:pt idx="21">
                  <c:v>5720.8466796875</c:v>
                </c:pt>
                <c:pt idx="22">
                  <c:v>5793.4619140625</c:v>
                </c:pt>
                <c:pt idx="23">
                  <c:v>5751.833984375</c:v>
                </c:pt>
                <c:pt idx="24">
                  <c:v>5746.18701171875</c:v>
                </c:pt>
                <c:pt idx="25">
                  <c:v>5734.7998046875</c:v>
                </c:pt>
                <c:pt idx="26">
                  <c:v>5833.50244140625</c:v>
                </c:pt>
                <c:pt idx="27">
                  <c:v>5906.91064453125</c:v>
                </c:pt>
                <c:pt idx="28">
                  <c:v>5908.078125</c:v>
                </c:pt>
                <c:pt idx="29">
                  <c:v>6014.71337890625</c:v>
                </c:pt>
                <c:pt idx="30">
                  <c:v>6001.505859375</c:v>
                </c:pt>
                <c:pt idx="31">
                  <c:v>5924.92431640625</c:v>
                </c:pt>
                <c:pt idx="32">
                  <c:v>5754.30712890625</c:v>
                </c:pt>
                <c:pt idx="33">
                  <c:v>5742.26708984375</c:v>
                </c:pt>
                <c:pt idx="34">
                  <c:v>5878.72314453125</c:v>
                </c:pt>
                <c:pt idx="35">
                  <c:v>5957.6376953125</c:v>
                </c:pt>
                <c:pt idx="36">
                  <c:v>5888.896484375</c:v>
                </c:pt>
                <c:pt idx="37">
                  <c:v>5851.4228515625</c:v>
                </c:pt>
                <c:pt idx="38">
                  <c:v>5889.923828125</c:v>
                </c:pt>
                <c:pt idx="39">
                  <c:v>5876.34326171875</c:v>
                </c:pt>
                <c:pt idx="40">
                  <c:v>5913.49072265625</c:v>
                </c:pt>
                <c:pt idx="41">
                  <c:v>6030.39306640625</c:v>
                </c:pt>
                <c:pt idx="42">
                  <c:v>5986.8525390625</c:v>
                </c:pt>
                <c:pt idx="43">
                  <c:v>5721.126953125</c:v>
                </c:pt>
                <c:pt idx="44">
                  <c:v>5626.625</c:v>
                </c:pt>
                <c:pt idx="45">
                  <c:v>5696.6259765625</c:v>
                </c:pt>
                <c:pt idx="46">
                  <c:v>5769.42724609375</c:v>
                </c:pt>
                <c:pt idx="47">
                  <c:v>5785.52783203125</c:v>
                </c:pt>
                <c:pt idx="48">
                  <c:v>5894.9638671875</c:v>
                </c:pt>
                <c:pt idx="49">
                  <c:v>5875.5966796875</c:v>
                </c:pt>
                <c:pt idx="50">
                  <c:v>5878.1171875</c:v>
                </c:pt>
                <c:pt idx="51">
                  <c:v>5949.09814453125</c:v>
                </c:pt>
                <c:pt idx="52">
                  <c:v>5961.931640625</c:v>
                </c:pt>
                <c:pt idx="53">
                  <c:v>5885.53662109375</c:v>
                </c:pt>
                <c:pt idx="54">
                  <c:v>5878.48974609375</c:v>
                </c:pt>
                <c:pt idx="55">
                  <c:v>5711.7470703125</c:v>
                </c:pt>
                <c:pt idx="56">
                  <c:v>5708.853515625</c:v>
                </c:pt>
                <c:pt idx="57">
                  <c:v>5836.95556640625</c:v>
                </c:pt>
                <c:pt idx="58">
                  <c:v>5678.1923828125</c:v>
                </c:pt>
                <c:pt idx="59">
                  <c:v>5695.3193359375</c:v>
                </c:pt>
                <c:pt idx="60">
                  <c:v>5686.359375</c:v>
                </c:pt>
                <c:pt idx="61">
                  <c:v>5675.48583984375</c:v>
                </c:pt>
                <c:pt idx="62">
                  <c:v>5643.00537109375</c:v>
                </c:pt>
                <c:pt idx="63">
                  <c:v>5665.591796875</c:v>
                </c:pt>
                <c:pt idx="64">
                  <c:v>5634.83837890625</c:v>
                </c:pt>
                <c:pt idx="65">
                  <c:v>5670.07275390625</c:v>
                </c:pt>
                <c:pt idx="66">
                  <c:v>5639.50537109375</c:v>
                </c:pt>
                <c:pt idx="67">
                  <c:v>5647.3916015625</c:v>
                </c:pt>
                <c:pt idx="68">
                  <c:v>5629.28515625</c:v>
                </c:pt>
                <c:pt idx="69">
                  <c:v>5578.4169921875</c:v>
                </c:pt>
                <c:pt idx="70">
                  <c:v>5186.408203125</c:v>
                </c:pt>
                <c:pt idx="71">
                  <c:v>5258.4169921875</c:v>
                </c:pt>
                <c:pt idx="72">
                  <c:v>5259.2568359375</c:v>
                </c:pt>
                <c:pt idx="73">
                  <c:v>5399.77294921875</c:v>
                </c:pt>
                <c:pt idx="74">
                  <c:v>5378.6328125</c:v>
                </c:pt>
                <c:pt idx="75">
                  <c:v>5434.400390625</c:v>
                </c:pt>
                <c:pt idx="76">
                  <c:v>5535.482421875</c:v>
                </c:pt>
                <c:pt idx="77">
                  <c:v>5606.88427734375</c:v>
                </c:pt>
                <c:pt idx="78">
                  <c:v>5614.724609375</c:v>
                </c:pt>
                <c:pt idx="79">
                  <c:v>5710.95361328125</c:v>
                </c:pt>
                <c:pt idx="80">
                  <c:v>5711.46630859375</c:v>
                </c:pt>
                <c:pt idx="81">
                  <c:v>5614.0712890625</c:v>
                </c:pt>
                <c:pt idx="82">
                  <c:v>5527.92236328125</c:v>
                </c:pt>
                <c:pt idx="83">
                  <c:v>5557.13671875</c:v>
                </c:pt>
                <c:pt idx="84">
                  <c:v>5379.84619140625</c:v>
                </c:pt>
                <c:pt idx="85">
                  <c:v>5404.06689453125</c:v>
                </c:pt>
                <c:pt idx="86">
                  <c:v>5451.8544921875</c:v>
                </c:pt>
                <c:pt idx="87">
                  <c:v>5444.90087890625</c:v>
                </c:pt>
                <c:pt idx="88">
                  <c:v>5394.7333984375</c:v>
                </c:pt>
                <c:pt idx="89">
                  <c:v>5419.1865234375</c:v>
                </c:pt>
                <c:pt idx="90">
                  <c:v>5490.35498046875</c:v>
                </c:pt>
                <c:pt idx="91">
                  <c:v>5320.01806640625</c:v>
                </c:pt>
                <c:pt idx="92">
                  <c:v>5316.70556640625</c:v>
                </c:pt>
                <c:pt idx="93">
                  <c:v>5319.1318359375</c:v>
                </c:pt>
                <c:pt idx="94">
                  <c:v>5722.47998046875</c:v>
                </c:pt>
                <c:pt idx="95">
                  <c:v>5477.0087890625</c:v>
                </c:pt>
                <c:pt idx="96">
                  <c:v>5409.43408203125</c:v>
                </c:pt>
                <c:pt idx="97">
                  <c:v>5491.98876953125</c:v>
                </c:pt>
                <c:pt idx="98">
                  <c:v>5469.9150390625</c:v>
                </c:pt>
                <c:pt idx="99">
                  <c:v>5562.45654296875</c:v>
                </c:pt>
                <c:pt idx="100">
                  <c:v>5544.62939453125</c:v>
                </c:pt>
                <c:pt idx="101">
                  <c:v>5456.94091796875</c:v>
                </c:pt>
                <c:pt idx="102">
                  <c:v>5405.93408203125</c:v>
                </c:pt>
                <c:pt idx="103">
                  <c:v>5324.91845703125</c:v>
                </c:pt>
                <c:pt idx="104">
                  <c:v>5299.7646484375</c:v>
                </c:pt>
                <c:pt idx="105">
                  <c:v>5256.87744140625</c:v>
                </c:pt>
                <c:pt idx="106">
                  <c:v>5296.77783203125</c:v>
                </c:pt>
                <c:pt idx="107">
                  <c:v>5276.4775390625</c:v>
                </c:pt>
                <c:pt idx="108">
                  <c:v>5223.603515625</c:v>
                </c:pt>
                <c:pt idx="109">
                  <c:v>5350.958984375</c:v>
                </c:pt>
                <c:pt idx="110">
                  <c:v>5327.01806640625</c:v>
                </c:pt>
                <c:pt idx="111">
                  <c:v>5238.0703125</c:v>
                </c:pt>
                <c:pt idx="112">
                  <c:v>5195.0419921875</c:v>
                </c:pt>
                <c:pt idx="113">
                  <c:v>5200.7822265625</c:v>
                </c:pt>
                <c:pt idx="114">
                  <c:v>5191.869140625</c:v>
                </c:pt>
                <c:pt idx="115">
                  <c:v>5187.80859375</c:v>
                </c:pt>
                <c:pt idx="116">
                  <c:v>5164.98876953125</c:v>
                </c:pt>
                <c:pt idx="117">
                  <c:v>4964.41015625</c:v>
                </c:pt>
                <c:pt idx="118">
                  <c:v>4855.53564453125</c:v>
                </c:pt>
                <c:pt idx="119">
                  <c:v>4937.90380859375</c:v>
                </c:pt>
                <c:pt idx="120">
                  <c:v>4872.615234375</c:v>
                </c:pt>
                <c:pt idx="121">
                  <c:v>4979.6708984375</c:v>
                </c:pt>
                <c:pt idx="122">
                  <c:v>4946.91064453125</c:v>
                </c:pt>
                <c:pt idx="123">
                  <c:v>4842.51513671875</c:v>
                </c:pt>
                <c:pt idx="124">
                  <c:v>4767.98681640625</c:v>
                </c:pt>
                <c:pt idx="125">
                  <c:v>4894.26953125</c:v>
                </c:pt>
                <c:pt idx="126">
                  <c:v>5016.49267578125</c:v>
                </c:pt>
                <c:pt idx="127">
                  <c:v>5051.4931640625</c:v>
                </c:pt>
                <c:pt idx="128">
                  <c:v>5126.1142578125</c:v>
                </c:pt>
                <c:pt idx="129">
                  <c:v>5078.83984375</c:v>
                </c:pt>
                <c:pt idx="130">
                  <c:v>5145.0146484375</c:v>
                </c:pt>
                <c:pt idx="131">
                  <c:v>5161.5810546875</c:v>
                </c:pt>
                <c:pt idx="132">
                  <c:v>5047.33935546875</c:v>
                </c:pt>
                <c:pt idx="133">
                  <c:v>4983.451171875</c:v>
                </c:pt>
                <c:pt idx="134">
                  <c:v>5021.81201171875</c:v>
                </c:pt>
                <c:pt idx="135">
                  <c:v>5014.29833984375</c:v>
                </c:pt>
                <c:pt idx="136">
                  <c:v>4919.37646484375</c:v>
                </c:pt>
                <c:pt idx="137">
                  <c:v>4837.1015625</c:v>
                </c:pt>
                <c:pt idx="138">
                  <c:v>4834.44140625</c:v>
                </c:pt>
                <c:pt idx="139">
                  <c:v>4810.68798828125</c:v>
                </c:pt>
                <c:pt idx="140">
                  <c:v>4730.18603515625</c:v>
                </c:pt>
                <c:pt idx="141">
                  <c:v>5020.87890625</c:v>
                </c:pt>
                <c:pt idx="142">
                  <c:v>4979.62451171875</c:v>
                </c:pt>
                <c:pt idx="143">
                  <c:v>4960.35009765625</c:v>
                </c:pt>
                <c:pt idx="144">
                  <c:v>4981.0244140625</c:v>
                </c:pt>
                <c:pt idx="145">
                  <c:v>4995.58447265625</c:v>
                </c:pt>
                <c:pt idx="146">
                  <c:v>5029.69921875</c:v>
                </c:pt>
                <c:pt idx="147">
                  <c:v>4976.9638671875</c:v>
                </c:pt>
                <c:pt idx="148">
                  <c:v>4965.95068359375</c:v>
                </c:pt>
                <c:pt idx="149">
                  <c:v>4918.3037109375</c:v>
                </c:pt>
                <c:pt idx="150">
                  <c:v>4994.51123046875</c:v>
                </c:pt>
                <c:pt idx="151">
                  <c:v>4878.916015625</c:v>
                </c:pt>
                <c:pt idx="152">
                  <c:v>4913.26318359375</c:v>
                </c:pt>
                <c:pt idx="153">
                  <c:v>4916.39013671875</c:v>
                </c:pt>
                <c:pt idx="154">
                  <c:v>4863.935546875</c:v>
                </c:pt>
                <c:pt idx="155">
                  <c:v>4898.703125</c:v>
                </c:pt>
                <c:pt idx="156">
                  <c:v>4942.103515625</c:v>
                </c:pt>
                <c:pt idx="157">
                  <c:v>4851.00830078125</c:v>
                </c:pt>
                <c:pt idx="158">
                  <c:v>4949.8505859375</c:v>
                </c:pt>
                <c:pt idx="159">
                  <c:v>4936.73681640625</c:v>
                </c:pt>
                <c:pt idx="160">
                  <c:v>4838.12841796875</c:v>
                </c:pt>
                <c:pt idx="161">
                  <c:v>4768.68701171875</c:v>
                </c:pt>
                <c:pt idx="162">
                  <c:v>4819.4609375</c:v>
                </c:pt>
                <c:pt idx="163">
                  <c:v>4737.60546875</c:v>
                </c:pt>
                <c:pt idx="164">
                  <c:v>4798.2734375</c:v>
                </c:pt>
                <c:pt idx="165">
                  <c:v>4772.8408203125</c:v>
                </c:pt>
                <c:pt idx="166">
                  <c:v>4807.88818359375</c:v>
                </c:pt>
                <c:pt idx="167">
                  <c:v>4817.40771484375</c:v>
                </c:pt>
                <c:pt idx="168">
                  <c:v>4833.6943359375</c:v>
                </c:pt>
                <c:pt idx="169">
                  <c:v>4925.63037109375</c:v>
                </c:pt>
                <c:pt idx="170">
                  <c:v>4980.04443359375</c:v>
                </c:pt>
                <c:pt idx="171">
                  <c:v>4960.30419921875</c:v>
                </c:pt>
                <c:pt idx="172">
                  <c:v>4902.62255859375</c:v>
                </c:pt>
                <c:pt idx="173">
                  <c:v>4890.81591796875</c:v>
                </c:pt>
                <c:pt idx="174">
                  <c:v>4951.25</c:v>
                </c:pt>
                <c:pt idx="175">
                  <c:v>4946.02392578125</c:v>
                </c:pt>
                <c:pt idx="176">
                  <c:v>4943.45751953125</c:v>
                </c:pt>
                <c:pt idx="177">
                  <c:v>4899.82373046875</c:v>
                </c:pt>
                <c:pt idx="178">
                  <c:v>4817.22119140625</c:v>
                </c:pt>
                <c:pt idx="179">
                  <c:v>4984.19775390625</c:v>
                </c:pt>
                <c:pt idx="180">
                  <c:v>4873.12890625</c:v>
                </c:pt>
                <c:pt idx="181">
                  <c:v>4921.5234375</c:v>
                </c:pt>
                <c:pt idx="182">
                  <c:v>4877.93603515625</c:v>
                </c:pt>
                <c:pt idx="183">
                  <c:v>4879.9423828125</c:v>
                </c:pt>
                <c:pt idx="184">
                  <c:v>4918.5830078125</c:v>
                </c:pt>
                <c:pt idx="185">
                  <c:v>4849.095703125</c:v>
                </c:pt>
                <c:pt idx="186">
                  <c:v>4863.935546875</c:v>
                </c:pt>
                <c:pt idx="187">
                  <c:v>4895.66943359375</c:v>
                </c:pt>
                <c:pt idx="188">
                  <c:v>4913.123046875</c:v>
                </c:pt>
                <c:pt idx="189">
                  <c:v>4811.48046875</c:v>
                </c:pt>
                <c:pt idx="190">
                  <c:v>4848.62890625</c:v>
                </c:pt>
                <c:pt idx="191">
                  <c:v>4855.7685546875</c:v>
                </c:pt>
                <c:pt idx="192">
                  <c:v>4802.28759765625</c:v>
                </c:pt>
                <c:pt idx="193">
                  <c:v>4767.38037109375</c:v>
                </c:pt>
                <c:pt idx="194">
                  <c:v>4699.7587890625</c:v>
                </c:pt>
                <c:pt idx="195">
                  <c:v>4711.1455078125</c:v>
                </c:pt>
                <c:pt idx="196">
                  <c:v>4679.64501953125</c:v>
                </c:pt>
                <c:pt idx="197">
                  <c:v>4619.1171875</c:v>
                </c:pt>
                <c:pt idx="198">
                  <c:v>4685.05859375</c:v>
                </c:pt>
                <c:pt idx="199">
                  <c:v>4784.3212890625</c:v>
                </c:pt>
                <c:pt idx="200">
                  <c:v>4804.24755859375</c:v>
                </c:pt>
                <c:pt idx="201">
                  <c:v>4725.56591796875</c:v>
                </c:pt>
                <c:pt idx="202">
                  <c:v>4833.134765625</c:v>
                </c:pt>
                <c:pt idx="203">
                  <c:v>4759.91259765625</c:v>
                </c:pt>
                <c:pt idx="204">
                  <c:v>4757.06640625</c:v>
                </c:pt>
                <c:pt idx="205">
                  <c:v>4769.5263671875</c:v>
                </c:pt>
                <c:pt idx="206">
                  <c:v>4832.6689453125</c:v>
                </c:pt>
                <c:pt idx="207">
                  <c:v>4853.5283203125</c:v>
                </c:pt>
                <c:pt idx="208">
                  <c:v>4904.67578125</c:v>
                </c:pt>
                <c:pt idx="209">
                  <c:v>4873.92236328125</c:v>
                </c:pt>
                <c:pt idx="210">
                  <c:v>4856.609375</c:v>
                </c:pt>
                <c:pt idx="211">
                  <c:v>4890.4892578125</c:v>
                </c:pt>
                <c:pt idx="212">
                  <c:v>4891.88916015625</c:v>
                </c:pt>
                <c:pt idx="213">
                  <c:v>4815.12109375</c:v>
                </c:pt>
                <c:pt idx="214">
                  <c:v>4853.80859375</c:v>
                </c:pt>
                <c:pt idx="215">
                  <c:v>4910.88232421875</c:v>
                </c:pt>
                <c:pt idx="216">
                  <c:v>4953.77099609375</c:v>
                </c:pt>
                <c:pt idx="217">
                  <c:v>4986.85791015625</c:v>
                </c:pt>
                <c:pt idx="218">
                  <c:v>5066.4736328125</c:v>
                </c:pt>
                <c:pt idx="219">
                  <c:v>5083.55322265625</c:v>
                </c:pt>
                <c:pt idx="220">
                  <c:v>5044.11865234375</c:v>
                </c:pt>
                <c:pt idx="221">
                  <c:v>5101.83447265625</c:v>
                </c:pt>
                <c:pt idx="222">
                  <c:v>5183.75927734375</c:v>
                </c:pt>
                <c:pt idx="223">
                  <c:v>5177.29345703125</c:v>
                </c:pt>
                <c:pt idx="224">
                  <c:v>5265.400390625</c:v>
                </c:pt>
                <c:pt idx="225">
                  <c:v>5345.95703125</c:v>
                </c:pt>
                <c:pt idx="226">
                  <c:v>5353.318359375</c:v>
                </c:pt>
                <c:pt idx="227">
                  <c:v>5297.58544921875</c:v>
                </c:pt>
                <c:pt idx="228">
                  <c:v>5334.064453125</c:v>
                </c:pt>
                <c:pt idx="229">
                  <c:v>5434.771484375</c:v>
                </c:pt>
                <c:pt idx="230">
                  <c:v>5512.25927734375</c:v>
                </c:pt>
                <c:pt idx="231">
                  <c:v>5441.18896484375</c:v>
                </c:pt>
                <c:pt idx="232">
                  <c:v>5483.3310546875</c:v>
                </c:pt>
                <c:pt idx="233">
                  <c:v>5490.74072265625</c:v>
                </c:pt>
                <c:pt idx="234">
                  <c:v>5512.63720703125</c:v>
                </c:pt>
                <c:pt idx="235">
                  <c:v>5514.52490234375</c:v>
                </c:pt>
                <c:pt idx="236">
                  <c:v>5571.34326171875</c:v>
                </c:pt>
                <c:pt idx="237">
                  <c:v>5569.03125</c:v>
                </c:pt>
                <c:pt idx="238">
                  <c:v>5579.97900390625</c:v>
                </c:pt>
                <c:pt idx="239">
                  <c:v>5552.13623046875</c:v>
                </c:pt>
                <c:pt idx="240">
                  <c:v>5493.712890625</c:v>
                </c:pt>
                <c:pt idx="241">
                  <c:v>5527.50244140625</c:v>
                </c:pt>
                <c:pt idx="242">
                  <c:v>5463.55810546875</c:v>
                </c:pt>
                <c:pt idx="243">
                  <c:v>5491.353515625</c:v>
                </c:pt>
                <c:pt idx="244">
                  <c:v>5528.1162109375</c:v>
                </c:pt>
                <c:pt idx="245">
                  <c:v>5518.34765625</c:v>
                </c:pt>
                <c:pt idx="246">
                  <c:v>5498.66845703125</c:v>
                </c:pt>
                <c:pt idx="247">
                  <c:v>5450.86328125</c:v>
                </c:pt>
                <c:pt idx="248">
                  <c:v>5411.1748046875</c:v>
                </c:pt>
                <c:pt idx="249">
                  <c:v>5430.33544921875</c:v>
                </c:pt>
                <c:pt idx="250">
                  <c:v>5489.4189453125</c:v>
                </c:pt>
                <c:pt idx="251">
                  <c:v>5455.44091796875</c:v>
                </c:pt>
                <c:pt idx="252">
                  <c:v>5494.0439453125</c:v>
                </c:pt>
                <c:pt idx="253">
                  <c:v>5588.8046875</c:v>
                </c:pt>
                <c:pt idx="254">
                  <c:v>5556.33642578125</c:v>
                </c:pt>
                <c:pt idx="255">
                  <c:v>5444.3505859375</c:v>
                </c:pt>
                <c:pt idx="256">
                  <c:v>5477.24365234375</c:v>
                </c:pt>
                <c:pt idx="257">
                  <c:v>5507.068359375</c:v>
                </c:pt>
                <c:pt idx="258">
                  <c:v>5492.81689453125</c:v>
                </c:pt>
                <c:pt idx="259">
                  <c:v>5572.75927734375</c:v>
                </c:pt>
                <c:pt idx="260">
                  <c:v>5483.42578125</c:v>
                </c:pt>
                <c:pt idx="261">
                  <c:v>5444.4931640625</c:v>
                </c:pt>
                <c:pt idx="262">
                  <c:v>5434.3466796875</c:v>
                </c:pt>
                <c:pt idx="263">
                  <c:v>5419.43408203125</c:v>
                </c:pt>
                <c:pt idx="264">
                  <c:v>5449.0703125</c:v>
                </c:pt>
                <c:pt idx="265">
                  <c:v>5427.55078125</c:v>
                </c:pt>
                <c:pt idx="266">
                  <c:v>5465.115234375</c:v>
                </c:pt>
                <c:pt idx="267">
                  <c:v>5503.9072265625</c:v>
                </c:pt>
                <c:pt idx="268">
                  <c:v>5507.91796875</c:v>
                </c:pt>
                <c:pt idx="269">
                  <c:v>5506.78515625</c:v>
                </c:pt>
                <c:pt idx="270">
                  <c:v>5474.55322265625</c:v>
                </c:pt>
                <c:pt idx="271">
                  <c:v>5456.14892578125</c:v>
                </c:pt>
                <c:pt idx="272">
                  <c:v>5458.130859375</c:v>
                </c:pt>
                <c:pt idx="273">
                  <c:v>5427.12646484375</c:v>
                </c:pt>
                <c:pt idx="274">
                  <c:v>5427.50341796875</c:v>
                </c:pt>
                <c:pt idx="275">
                  <c:v>5469.92919921875</c:v>
                </c:pt>
                <c:pt idx="276">
                  <c:v>5450.91064453125</c:v>
                </c:pt>
                <c:pt idx="277">
                  <c:v>5431.27880859375</c:v>
                </c:pt>
                <c:pt idx="278">
                  <c:v>5430.42919921875</c:v>
                </c:pt>
                <c:pt idx="279">
                  <c:v>5427.3623046875</c:v>
                </c:pt>
                <c:pt idx="280">
                  <c:v>5472.19384765625</c:v>
                </c:pt>
                <c:pt idx="281">
                  <c:v>5553.55224609375</c:v>
                </c:pt>
                <c:pt idx="282">
                  <c:v>5738.21337890625</c:v>
                </c:pt>
                <c:pt idx="283">
                  <c:v>5648.9267578125</c:v>
                </c:pt>
                <c:pt idx="284">
                  <c:v>5689.32275390625</c:v>
                </c:pt>
                <c:pt idx="285">
                  <c:v>5616.6474609375</c:v>
                </c:pt>
                <c:pt idx="286">
                  <c:v>5676.01416015625</c:v>
                </c:pt>
                <c:pt idx="287">
                  <c:v>6022.63671875</c:v>
                </c:pt>
                <c:pt idx="288">
                  <c:v>6161.04931640625</c:v>
                </c:pt>
                <c:pt idx="289">
                  <c:v>6033.25439453125</c:v>
                </c:pt>
                <c:pt idx="290">
                  <c:v>6101.54052734375</c:v>
                </c:pt>
                <c:pt idx="291">
                  <c:v>6090.68701171875</c:v>
                </c:pt>
                <c:pt idx="292">
                  <c:v>6018.955078125</c:v>
                </c:pt>
                <c:pt idx="293">
                  <c:v>6089.50634765625</c:v>
                </c:pt>
                <c:pt idx="294">
                  <c:v>6044.10888671875</c:v>
                </c:pt>
                <c:pt idx="295">
                  <c:v>5963.55322265625</c:v>
                </c:pt>
                <c:pt idx="296">
                  <c:v>5948.54541015625</c:v>
                </c:pt>
                <c:pt idx="297">
                  <c:v>5955.29443359375</c:v>
                </c:pt>
                <c:pt idx="298">
                  <c:v>5945.525390625</c:v>
                </c:pt>
                <c:pt idx="299">
                  <c:v>5851.14208984375</c:v>
                </c:pt>
                <c:pt idx="300">
                  <c:v>5785.16845703125</c:v>
                </c:pt>
                <c:pt idx="301">
                  <c:v>5752.134765625</c:v>
                </c:pt>
                <c:pt idx="302">
                  <c:v>5829.76513671875</c:v>
                </c:pt>
                <c:pt idx="303">
                  <c:v>5911.02783203125</c:v>
                </c:pt>
                <c:pt idx="304">
                  <c:v>6004.37353515625</c:v>
                </c:pt>
                <c:pt idx="305">
                  <c:v>5968.4609375</c:v>
                </c:pt>
                <c:pt idx="306">
                  <c:v>6003.94873046875</c:v>
                </c:pt>
                <c:pt idx="307">
                  <c:v>5960.39111328125</c:v>
                </c:pt>
                <c:pt idx="308">
                  <c:v>5977.568359375</c:v>
                </c:pt>
                <c:pt idx="309">
                  <c:v>6001.5419921875</c:v>
                </c:pt>
                <c:pt idx="310">
                  <c:v>5963.1748046875</c:v>
                </c:pt>
                <c:pt idx="311">
                  <c:v>5937.12548828125</c:v>
                </c:pt>
                <c:pt idx="312">
                  <c:v>5915.0869140625</c:v>
                </c:pt>
                <c:pt idx="313">
                  <c:v>5937.50341796875</c:v>
                </c:pt>
                <c:pt idx="314">
                  <c:v>5898.09814453125</c:v>
                </c:pt>
                <c:pt idx="315">
                  <c:v>5924.572265625</c:v>
                </c:pt>
                <c:pt idx="316">
                  <c:v>5848.310546875</c:v>
                </c:pt>
                <c:pt idx="317">
                  <c:v>5896.35205078125</c:v>
                </c:pt>
                <c:pt idx="318">
                  <c:v>5848.4521484375</c:v>
                </c:pt>
                <c:pt idx="319">
                  <c:v>5861.1943359375</c:v>
                </c:pt>
                <c:pt idx="320">
                  <c:v>5831.6044921875</c:v>
                </c:pt>
                <c:pt idx="321">
                  <c:v>5846.14013671875</c:v>
                </c:pt>
                <c:pt idx="322">
                  <c:v>5783.564453125</c:v>
                </c:pt>
                <c:pt idx="323">
                  <c:v>5859.58935546875</c:v>
                </c:pt>
                <c:pt idx="324">
                  <c:v>5828.6787109375</c:v>
                </c:pt>
                <c:pt idx="325">
                  <c:v>5849.0654296875</c:v>
                </c:pt>
                <c:pt idx="326">
                  <c:v>6015.88818359375</c:v>
                </c:pt>
                <c:pt idx="327">
                  <c:v>5918.2490234375</c:v>
                </c:pt>
                <c:pt idx="328">
                  <c:v>5879.88232421875</c:v>
                </c:pt>
                <c:pt idx="329">
                  <c:v>5855.05908203125</c:v>
                </c:pt>
                <c:pt idx="330">
                  <c:v>5897.814453125</c:v>
                </c:pt>
                <c:pt idx="331">
                  <c:v>5883.6572265625</c:v>
                </c:pt>
                <c:pt idx="332">
                  <c:v>5837.9287109375</c:v>
                </c:pt>
                <c:pt idx="333">
                  <c:v>5864.9228515625</c:v>
                </c:pt>
                <c:pt idx="334">
                  <c:v>5912.06689453125</c:v>
                </c:pt>
                <c:pt idx="335">
                  <c:v>5830.9443359375</c:v>
                </c:pt>
                <c:pt idx="336">
                  <c:v>5823.29931640625</c:v>
                </c:pt>
                <c:pt idx="337">
                  <c:v>5842.3173828125</c:v>
                </c:pt>
                <c:pt idx="338">
                  <c:v>5806.12158203125</c:v>
                </c:pt>
                <c:pt idx="339">
                  <c:v>5816.880859375</c:v>
                </c:pt>
                <c:pt idx="340">
                  <c:v>5807.7734375</c:v>
                </c:pt>
                <c:pt idx="341">
                  <c:v>5766.48046875</c:v>
                </c:pt>
                <c:pt idx="342">
                  <c:v>5747.0849609375</c:v>
                </c:pt>
                <c:pt idx="343">
                  <c:v>5672.89990234375</c:v>
                </c:pt>
                <c:pt idx="344">
                  <c:v>5702.20556640625</c:v>
                </c:pt>
                <c:pt idx="345">
                  <c:v>5732.078125</c:v>
                </c:pt>
                <c:pt idx="346">
                  <c:v>5849.8681640625</c:v>
                </c:pt>
                <c:pt idx="347">
                  <c:v>5902.25048828125</c:v>
                </c:pt>
                <c:pt idx="348">
                  <c:v>5856.0498046875</c:v>
                </c:pt>
                <c:pt idx="349">
                  <c:v>5844.01611328125</c:v>
                </c:pt>
                <c:pt idx="350">
                  <c:v>5756.80615234375</c:v>
                </c:pt>
                <c:pt idx="351">
                  <c:v>5754.87109375</c:v>
                </c:pt>
                <c:pt idx="352">
                  <c:v>5662.42333984375</c:v>
                </c:pt>
                <c:pt idx="353">
                  <c:v>5662.32861328125</c:v>
                </c:pt>
                <c:pt idx="354">
                  <c:v>5658.41162109375</c:v>
                </c:pt>
                <c:pt idx="355">
                  <c:v>5707.96240234375</c:v>
                </c:pt>
                <c:pt idx="356">
                  <c:v>5667.189453125</c:v>
                </c:pt>
                <c:pt idx="357">
                  <c:v>5685.6416015625</c:v>
                </c:pt>
                <c:pt idx="358">
                  <c:v>5680.49755859375</c:v>
                </c:pt>
                <c:pt idx="359">
                  <c:v>5668.36962890625</c:v>
                </c:pt>
                <c:pt idx="360">
                  <c:v>5581.81982421875</c:v>
                </c:pt>
                <c:pt idx="361">
                  <c:v>5653.55078125</c:v>
                </c:pt>
                <c:pt idx="362">
                  <c:v>5637.31689453125</c:v>
                </c:pt>
                <c:pt idx="363">
                  <c:v>5608.57763671875</c:v>
                </c:pt>
                <c:pt idx="364">
                  <c:v>5587.10546875</c:v>
                </c:pt>
                <c:pt idx="365">
                  <c:v>5571.34326171875</c:v>
                </c:pt>
                <c:pt idx="366">
                  <c:v>5559.9228515625</c:v>
                </c:pt>
                <c:pt idx="367">
                  <c:v>5620.23388671875</c:v>
                </c:pt>
                <c:pt idx="368">
                  <c:v>5589.04052734375</c:v>
                </c:pt>
                <c:pt idx="369">
                  <c:v>5764.40478515625</c:v>
                </c:pt>
                <c:pt idx="370">
                  <c:v>5801.166015625</c:v>
                </c:pt>
                <c:pt idx="371">
                  <c:v>5831.65283203125</c:v>
                </c:pt>
                <c:pt idx="372">
                  <c:v>5827.923828125</c:v>
                </c:pt>
                <c:pt idx="373">
                  <c:v>5756.71142578125</c:v>
                </c:pt>
                <c:pt idx="374">
                  <c:v>5751.4267578125</c:v>
                </c:pt>
                <c:pt idx="375">
                  <c:v>5732.03076171875</c:v>
                </c:pt>
                <c:pt idx="376">
                  <c:v>5734.34326171875</c:v>
                </c:pt>
                <c:pt idx="377">
                  <c:v>5744.63134765625</c:v>
                </c:pt>
                <c:pt idx="378">
                  <c:v>5795.22021484375</c:v>
                </c:pt>
                <c:pt idx="379">
                  <c:v>5852.369140625</c:v>
                </c:pt>
                <c:pt idx="380">
                  <c:v>5811.595703125</c:v>
                </c:pt>
                <c:pt idx="381">
                  <c:v>5735.66455078125</c:v>
                </c:pt>
                <c:pt idx="382">
                  <c:v>5784.224609375</c:v>
                </c:pt>
                <c:pt idx="383">
                  <c:v>5865.81884765625</c:v>
                </c:pt>
                <c:pt idx="384">
                  <c:v>5858.59814453125</c:v>
                </c:pt>
                <c:pt idx="385">
                  <c:v>5835.99365234375</c:v>
                </c:pt>
                <c:pt idx="386">
                  <c:v>5773.98388671875</c:v>
                </c:pt>
                <c:pt idx="387">
                  <c:v>5800.22216796875</c:v>
                </c:pt>
                <c:pt idx="388">
                  <c:v>5802.2041015625</c:v>
                </c:pt>
                <c:pt idx="389">
                  <c:v>5810.84033203125</c:v>
                </c:pt>
                <c:pt idx="390">
                  <c:v>5845.47998046875</c:v>
                </c:pt>
                <c:pt idx="391">
                  <c:v>5941.892578125</c:v>
                </c:pt>
                <c:pt idx="392">
                  <c:v>5934.435546875</c:v>
                </c:pt>
                <c:pt idx="393">
                  <c:v>5913.48193359375</c:v>
                </c:pt>
                <c:pt idx="394">
                  <c:v>5833.06787109375</c:v>
                </c:pt>
                <c:pt idx="395">
                  <c:v>5882.85546875</c:v>
                </c:pt>
                <c:pt idx="396">
                  <c:v>5780.26025390625</c:v>
                </c:pt>
                <c:pt idx="397">
                  <c:v>5801.2138671875</c:v>
                </c:pt>
                <c:pt idx="398">
                  <c:v>5875.30419921875</c:v>
                </c:pt>
                <c:pt idx="399">
                  <c:v>5884.7900390625</c:v>
                </c:pt>
                <c:pt idx="400">
                  <c:v>5819.71240234375</c:v>
                </c:pt>
                <c:pt idx="401">
                  <c:v>5899.65576171875</c:v>
                </c:pt>
                <c:pt idx="402">
                  <c:v>6036.369140625</c:v>
                </c:pt>
                <c:pt idx="403">
                  <c:v>5951.896484375</c:v>
                </c:pt>
                <c:pt idx="404">
                  <c:v>5974.97265625</c:v>
                </c:pt>
                <c:pt idx="405">
                  <c:v>5954.96435546875</c:v>
                </c:pt>
                <c:pt idx="406">
                  <c:v>6005.88330078125</c:v>
                </c:pt>
                <c:pt idx="407">
                  <c:v>5966.14892578125</c:v>
                </c:pt>
                <c:pt idx="408">
                  <c:v>6012.8681640625</c:v>
                </c:pt>
                <c:pt idx="409">
                  <c:v>6077.28466796875</c:v>
                </c:pt>
                <c:pt idx="410">
                  <c:v>5995.78466796875</c:v>
                </c:pt>
                <c:pt idx="411">
                  <c:v>6027.63916015625</c:v>
                </c:pt>
                <c:pt idx="412">
                  <c:v>6043.16455078125</c:v>
                </c:pt>
                <c:pt idx="413">
                  <c:v>6074.40576171875</c:v>
                </c:pt>
                <c:pt idx="414">
                  <c:v>6039.3427734375</c:v>
                </c:pt>
                <c:pt idx="415">
                  <c:v>6083.13623046875</c:v>
                </c:pt>
                <c:pt idx="416">
                  <c:v>6051.70703125</c:v>
                </c:pt>
                <c:pt idx="417">
                  <c:v>6057.60546875</c:v>
                </c:pt>
                <c:pt idx="418">
                  <c:v>6053.9716796875</c:v>
                </c:pt>
                <c:pt idx="419">
                  <c:v>6006.8271484375</c:v>
                </c:pt>
                <c:pt idx="420">
                  <c:v>6035.9443359375</c:v>
                </c:pt>
                <c:pt idx="421">
                  <c:v>6018.4833984375</c:v>
                </c:pt>
                <c:pt idx="422">
                  <c:v>6032.4052734375</c:v>
                </c:pt>
                <c:pt idx="423">
                  <c:v>6027.21435546875</c:v>
                </c:pt>
                <c:pt idx="424">
                  <c:v>5976.43603515625</c:v>
                </c:pt>
                <c:pt idx="425">
                  <c:v>6033.44287109375</c:v>
                </c:pt>
                <c:pt idx="426">
                  <c:v>5986.77099609375</c:v>
                </c:pt>
                <c:pt idx="427">
                  <c:v>6041.5126953125</c:v>
                </c:pt>
                <c:pt idx="428">
                  <c:v>6025.4208984375</c:v>
                </c:pt>
                <c:pt idx="429">
                  <c:v>6045.33642578125</c:v>
                </c:pt>
                <c:pt idx="430">
                  <c:v>6037.3603515625</c:v>
                </c:pt>
                <c:pt idx="431">
                  <c:v>6040.09765625</c:v>
                </c:pt>
                <c:pt idx="432">
                  <c:v>6033.44287109375</c:v>
                </c:pt>
                <c:pt idx="433">
                  <c:v>6035.0009765625</c:v>
                </c:pt>
                <c:pt idx="434">
                  <c:v>6063.126953125</c:v>
                </c:pt>
                <c:pt idx="435">
                  <c:v>6066.33642578125</c:v>
                </c:pt>
                <c:pt idx="436">
                  <c:v>5967.23388671875</c:v>
                </c:pt>
                <c:pt idx="437">
                  <c:v>5993.3310546875</c:v>
                </c:pt>
                <c:pt idx="438">
                  <c:v>6000.92822265625</c:v>
                </c:pt>
                <c:pt idx="439">
                  <c:v>6035.9443359375</c:v>
                </c:pt>
                <c:pt idx="440">
                  <c:v>6024.90185546875</c:v>
                </c:pt>
                <c:pt idx="441">
                  <c:v>6000.3623046875</c:v>
                </c:pt>
                <c:pt idx="442">
                  <c:v>6009.28125</c:v>
                </c:pt>
                <c:pt idx="443">
                  <c:v>6027.21435546875</c:v>
                </c:pt>
                <c:pt idx="444">
                  <c:v>6019.38037109375</c:v>
                </c:pt>
                <c:pt idx="445">
                  <c:v>6011.9716796875</c:v>
                </c:pt>
                <c:pt idx="446">
                  <c:v>6026.8837890625</c:v>
                </c:pt>
                <c:pt idx="447">
                  <c:v>6011.1689453125</c:v>
                </c:pt>
                <c:pt idx="448">
                  <c:v>6027.591796875</c:v>
                </c:pt>
                <c:pt idx="449">
                  <c:v>6033.0185546875</c:v>
                </c:pt>
                <c:pt idx="450">
                  <c:v>6038.3515625</c:v>
                </c:pt>
                <c:pt idx="451">
                  <c:v>6041.22998046875</c:v>
                </c:pt>
                <c:pt idx="452">
                  <c:v>6086.392578125</c:v>
                </c:pt>
                <c:pt idx="453">
                  <c:v>6077.61474609375</c:v>
                </c:pt>
                <c:pt idx="454">
                  <c:v>6053.3583984375</c:v>
                </c:pt>
                <c:pt idx="455">
                  <c:v>6068.69580078125</c:v>
                </c:pt>
                <c:pt idx="456">
                  <c:v>6045.8076171875</c:v>
                </c:pt>
                <c:pt idx="457">
                  <c:v>6066.85546875</c:v>
                </c:pt>
                <c:pt idx="458">
                  <c:v>6040.94677734375</c:v>
                </c:pt>
                <c:pt idx="459">
                  <c:v>6219.23681640625</c:v>
                </c:pt>
                <c:pt idx="460">
                  <c:v>6219.09521484375</c:v>
                </c:pt>
                <c:pt idx="461">
                  <c:v>6182.56884765625</c:v>
                </c:pt>
                <c:pt idx="462">
                  <c:v>6206.0703125</c:v>
                </c:pt>
                <c:pt idx="463">
                  <c:v>6314.65771484375</c:v>
                </c:pt>
                <c:pt idx="464">
                  <c:v>6309.89111328125</c:v>
                </c:pt>
                <c:pt idx="465">
                  <c:v>6243.3515625</c:v>
                </c:pt>
                <c:pt idx="466">
                  <c:v>6286.390625</c:v>
                </c:pt>
                <c:pt idx="467">
                  <c:v>6300.40673828125</c:v>
                </c:pt>
                <c:pt idx="468">
                  <c:v>6299.88720703125</c:v>
                </c:pt>
                <c:pt idx="469">
                  <c:v>6261.095703125</c:v>
                </c:pt>
                <c:pt idx="470">
                  <c:v>6346.79541015625</c:v>
                </c:pt>
                <c:pt idx="471">
                  <c:v>6465.01025390625</c:v>
                </c:pt>
                <c:pt idx="472">
                  <c:v>6433.25927734375</c:v>
                </c:pt>
                <c:pt idx="473">
                  <c:v>6316.78857421875</c:v>
                </c:pt>
                <c:pt idx="474">
                  <c:v>6402.369140625</c:v>
                </c:pt>
                <c:pt idx="475">
                  <c:v>6420.041015625</c:v>
                </c:pt>
                <c:pt idx="476">
                  <c:v>6524.68212890625</c:v>
                </c:pt>
                <c:pt idx="477">
                  <c:v>6375.02392578125</c:v>
                </c:pt>
                <c:pt idx="478">
                  <c:v>6448.5361328125</c:v>
                </c:pt>
                <c:pt idx="479">
                  <c:v>6417.07177734375</c:v>
                </c:pt>
                <c:pt idx="480">
                  <c:v>6557.96630859375</c:v>
                </c:pt>
                <c:pt idx="481">
                  <c:v>6594.79443359375</c:v>
                </c:pt>
                <c:pt idx="482">
                  <c:v>6634.2080078125</c:v>
                </c:pt>
                <c:pt idx="483">
                  <c:v>6611.41259765625</c:v>
                </c:pt>
                <c:pt idx="484">
                  <c:v>6646.42041015625</c:v>
                </c:pt>
                <c:pt idx="485">
                  <c:v>6555.33203125</c:v>
                </c:pt>
                <c:pt idx="486">
                  <c:v>6456.77294921875</c:v>
                </c:pt>
                <c:pt idx="487">
                  <c:v>6516.87646484375</c:v>
                </c:pt>
                <c:pt idx="488">
                  <c:v>6489.673828125</c:v>
                </c:pt>
                <c:pt idx="489">
                  <c:v>6525.40087890625</c:v>
                </c:pt>
                <c:pt idx="490">
                  <c:v>6483.8798828125</c:v>
                </c:pt>
                <c:pt idx="491">
                  <c:v>6583.63623046875</c:v>
                </c:pt>
                <c:pt idx="492">
                  <c:v>6638.9013671875</c:v>
                </c:pt>
                <c:pt idx="493">
                  <c:v>6697.52001953125</c:v>
                </c:pt>
                <c:pt idx="494">
                  <c:v>6711.025390625</c:v>
                </c:pt>
                <c:pt idx="495">
                  <c:v>6685.49951171875</c:v>
                </c:pt>
                <c:pt idx="496">
                  <c:v>6633.92138671875</c:v>
                </c:pt>
                <c:pt idx="497">
                  <c:v>6752.64208984375</c:v>
                </c:pt>
                <c:pt idx="498">
                  <c:v>6879.9365234375</c:v>
                </c:pt>
                <c:pt idx="499">
                  <c:v>6837.8876953125</c:v>
                </c:pt>
                <c:pt idx="500">
                  <c:v>6638.279296875</c:v>
                </c:pt>
                <c:pt idx="501">
                  <c:v>6687.07958984375</c:v>
                </c:pt>
                <c:pt idx="502">
                  <c:v>6717.77783203125</c:v>
                </c:pt>
                <c:pt idx="503">
                  <c:v>6699.0048828125</c:v>
                </c:pt>
                <c:pt idx="504">
                  <c:v>6565.14990234375</c:v>
                </c:pt>
                <c:pt idx="505">
                  <c:v>6574.8720703125</c:v>
                </c:pt>
                <c:pt idx="506">
                  <c:v>6488.189453125</c:v>
                </c:pt>
                <c:pt idx="507">
                  <c:v>6619.7451171875</c:v>
                </c:pt>
                <c:pt idx="508">
                  <c:v>6542.306640625</c:v>
                </c:pt>
                <c:pt idx="509">
                  <c:v>6457.58740234375</c:v>
                </c:pt>
                <c:pt idx="510">
                  <c:v>6541.060546875</c:v>
                </c:pt>
                <c:pt idx="511">
                  <c:v>6645.79833984375</c:v>
                </c:pt>
                <c:pt idx="512">
                  <c:v>6636.50732421875</c:v>
                </c:pt>
                <c:pt idx="513">
                  <c:v>6747.0869140625</c:v>
                </c:pt>
                <c:pt idx="514">
                  <c:v>6831.662109375</c:v>
                </c:pt>
                <c:pt idx="515">
                  <c:v>7046.49951171875</c:v>
                </c:pt>
                <c:pt idx="516">
                  <c:v>6919.54150390625</c:v>
                </c:pt>
                <c:pt idx="517">
                  <c:v>6800.9638671875</c:v>
                </c:pt>
                <c:pt idx="518">
                  <c:v>6946.4560546875</c:v>
                </c:pt>
                <c:pt idx="519">
                  <c:v>6907.521484375</c:v>
                </c:pt>
                <c:pt idx="520">
                  <c:v>6839.80322265625</c:v>
                </c:pt>
                <c:pt idx="521">
                  <c:v>6920.451171875</c:v>
                </c:pt>
                <c:pt idx="522">
                  <c:v>7029.64208984375</c:v>
                </c:pt>
                <c:pt idx="523">
                  <c:v>7033.80908203125</c:v>
                </c:pt>
                <c:pt idx="524">
                  <c:v>6997.31640625</c:v>
                </c:pt>
                <c:pt idx="525">
                  <c:v>6906.7548828125</c:v>
                </c:pt>
                <c:pt idx="526">
                  <c:v>6892.72216796875</c:v>
                </c:pt>
                <c:pt idx="527">
                  <c:v>6802.5927734375</c:v>
                </c:pt>
                <c:pt idx="528">
                  <c:v>6637.9443359375</c:v>
                </c:pt>
                <c:pt idx="529">
                  <c:v>6665.14599609375</c:v>
                </c:pt>
                <c:pt idx="530">
                  <c:v>6785.3515625</c:v>
                </c:pt>
                <c:pt idx="531">
                  <c:v>6801.8740234375</c:v>
                </c:pt>
                <c:pt idx="532">
                  <c:v>6657.435546875</c:v>
                </c:pt>
                <c:pt idx="533">
                  <c:v>6590.6279296875</c:v>
                </c:pt>
                <c:pt idx="534">
                  <c:v>6575.78173828125</c:v>
                </c:pt>
                <c:pt idx="535">
                  <c:v>6738.1796875</c:v>
                </c:pt>
                <c:pt idx="536">
                  <c:v>6700.345703125</c:v>
                </c:pt>
                <c:pt idx="537">
                  <c:v>6864.94580078125</c:v>
                </c:pt>
                <c:pt idx="538">
                  <c:v>7013.88623046875</c:v>
                </c:pt>
                <c:pt idx="539">
                  <c:v>7064.36328125</c:v>
                </c:pt>
                <c:pt idx="540">
                  <c:v>6984.1455078125</c:v>
                </c:pt>
                <c:pt idx="541">
                  <c:v>6914.5126953125</c:v>
                </c:pt>
                <c:pt idx="542">
                  <c:v>6936.302734375</c:v>
                </c:pt>
                <c:pt idx="543">
                  <c:v>6965.7080078125</c:v>
                </c:pt>
                <c:pt idx="544">
                  <c:v>7015.70654296875</c:v>
                </c:pt>
                <c:pt idx="545">
                  <c:v>7013.98193359375</c:v>
                </c:pt>
                <c:pt idx="546">
                  <c:v>7001.6259765625</c:v>
                </c:pt>
                <c:pt idx="547">
                  <c:v>6977.01025390625</c:v>
                </c:pt>
                <c:pt idx="548">
                  <c:v>6896.50634765625</c:v>
                </c:pt>
                <c:pt idx="549">
                  <c:v>6963.55322265625</c:v>
                </c:pt>
                <c:pt idx="550">
                  <c:v>7085.2431640625</c:v>
                </c:pt>
                <c:pt idx="551">
                  <c:v>7079.30517578125</c:v>
                </c:pt>
                <c:pt idx="552">
                  <c:v>7131.123046875</c:v>
                </c:pt>
                <c:pt idx="553">
                  <c:v>7200.66015625</c:v>
                </c:pt>
                <c:pt idx="554">
                  <c:v>7254.39404296875</c:v>
                </c:pt>
                <c:pt idx="555">
                  <c:v>7197.93017578125</c:v>
                </c:pt>
                <c:pt idx="556">
                  <c:v>7261.7685546875</c:v>
                </c:pt>
                <c:pt idx="557">
                  <c:v>7243.71337890625</c:v>
                </c:pt>
                <c:pt idx="558">
                  <c:v>7277.62060546875</c:v>
                </c:pt>
                <c:pt idx="559">
                  <c:v>7288.49169921875</c:v>
                </c:pt>
                <c:pt idx="560">
                  <c:v>7163.927734375</c:v>
                </c:pt>
                <c:pt idx="561">
                  <c:v>7205.68896484375</c:v>
                </c:pt>
                <c:pt idx="562">
                  <c:v>7241.7978515625</c:v>
                </c:pt>
                <c:pt idx="563">
                  <c:v>7162.6826171875</c:v>
                </c:pt>
                <c:pt idx="564">
                  <c:v>7159.0908203125</c:v>
                </c:pt>
                <c:pt idx="565">
                  <c:v>7131.123046875</c:v>
                </c:pt>
                <c:pt idx="566">
                  <c:v>7172.30908203125</c:v>
                </c:pt>
                <c:pt idx="567">
                  <c:v>7200.99560546875</c:v>
                </c:pt>
                <c:pt idx="568">
                  <c:v>7250.0830078125</c:v>
                </c:pt>
                <c:pt idx="569">
                  <c:v>7180.59423828125</c:v>
                </c:pt>
                <c:pt idx="570">
                  <c:v>7244.33642578125</c:v>
                </c:pt>
                <c:pt idx="571">
                  <c:v>7181.6474609375</c:v>
                </c:pt>
                <c:pt idx="572">
                  <c:v>7268.330078125</c:v>
                </c:pt>
                <c:pt idx="573">
                  <c:v>7225.32421875</c:v>
                </c:pt>
                <c:pt idx="574">
                  <c:v>7167.13623046875</c:v>
                </c:pt>
                <c:pt idx="575">
                  <c:v>7114.45654296875</c:v>
                </c:pt>
                <c:pt idx="576">
                  <c:v>7228.48486328125</c:v>
                </c:pt>
                <c:pt idx="577">
                  <c:v>7202.86328125</c:v>
                </c:pt>
                <c:pt idx="578">
                  <c:v>7203.7734375</c:v>
                </c:pt>
                <c:pt idx="579">
                  <c:v>7127.38720703125</c:v>
                </c:pt>
                <c:pt idx="580">
                  <c:v>7180.59423828125</c:v>
                </c:pt>
                <c:pt idx="581">
                  <c:v>7265.3603515625</c:v>
                </c:pt>
                <c:pt idx="582">
                  <c:v>7184.2333984375</c:v>
                </c:pt>
                <c:pt idx="583">
                  <c:v>7193.189453125</c:v>
                </c:pt>
                <c:pt idx="584">
                  <c:v>7203.7734375</c:v>
                </c:pt>
                <c:pt idx="585">
                  <c:v>7236.865234375</c:v>
                </c:pt>
                <c:pt idx="586">
                  <c:v>7212.919921875</c:v>
                </c:pt>
                <c:pt idx="587">
                  <c:v>7220.05615234375</c:v>
                </c:pt>
                <c:pt idx="588">
                  <c:v>7166.2744140625</c:v>
                </c:pt>
                <c:pt idx="589">
                  <c:v>7099.6103515625</c:v>
                </c:pt>
                <c:pt idx="590">
                  <c:v>6996.40625</c:v>
                </c:pt>
                <c:pt idx="591">
                  <c:v>6976.48388671875</c:v>
                </c:pt>
                <c:pt idx="592">
                  <c:v>6967.048828125</c:v>
                </c:pt>
                <c:pt idx="593">
                  <c:v>7181.4560546875</c:v>
                </c:pt>
                <c:pt idx="594">
                  <c:v>7271.29833984375</c:v>
                </c:pt>
                <c:pt idx="595">
                  <c:v>7073.126953125</c:v>
                </c:pt>
                <c:pt idx="596">
                  <c:v>7126.76416015625</c:v>
                </c:pt>
                <c:pt idx="597">
                  <c:v>6904.83935546875</c:v>
                </c:pt>
                <c:pt idx="598">
                  <c:v>6913.5546875</c:v>
                </c:pt>
                <c:pt idx="599">
                  <c:v>6838.07958984375</c:v>
                </c:pt>
                <c:pt idx="600">
                  <c:v>6880.7021484375</c:v>
                </c:pt>
                <c:pt idx="601">
                  <c:v>6788.03369140625</c:v>
                </c:pt>
                <c:pt idx="602">
                  <c:v>6817.67822265625</c:v>
                </c:pt>
                <c:pt idx="603">
                  <c:v>6797.228515625</c:v>
                </c:pt>
                <c:pt idx="604">
                  <c:v>6916.09326171875</c:v>
                </c:pt>
                <c:pt idx="605">
                  <c:v>6976.9150390625</c:v>
                </c:pt>
                <c:pt idx="606">
                  <c:v>6944.97119140625</c:v>
                </c:pt>
                <c:pt idx="607">
                  <c:v>6867.9150390625</c:v>
                </c:pt>
                <c:pt idx="608">
                  <c:v>6806.615234375</c:v>
                </c:pt>
                <c:pt idx="609">
                  <c:v>6720.6513671875</c:v>
                </c:pt>
                <c:pt idx="610">
                  <c:v>6825.484375</c:v>
                </c:pt>
                <c:pt idx="611">
                  <c:v>6750.6787109375</c:v>
                </c:pt>
                <c:pt idx="612">
                  <c:v>6704.99072265625</c:v>
                </c:pt>
                <c:pt idx="613">
                  <c:v>6613.2802734375</c:v>
                </c:pt>
                <c:pt idx="614">
                  <c:v>6604.70751953125</c:v>
                </c:pt>
                <c:pt idx="615">
                  <c:v>6474.87548828125</c:v>
                </c:pt>
                <c:pt idx="616">
                  <c:v>6510.1240234375</c:v>
                </c:pt>
                <c:pt idx="617">
                  <c:v>6506.53173828125</c:v>
                </c:pt>
                <c:pt idx="618">
                  <c:v>6118.568359375</c:v>
                </c:pt>
                <c:pt idx="619">
                  <c:v>6177.95361328125</c:v>
                </c:pt>
                <c:pt idx="620">
                  <c:v>6041.369140625</c:v>
                </c:pt>
                <c:pt idx="621">
                  <c:v>6043.8115234375</c:v>
                </c:pt>
                <c:pt idx="622">
                  <c:v>6000.85400390625</c:v>
                </c:pt>
                <c:pt idx="623">
                  <c:v>6011.341796875</c:v>
                </c:pt>
                <c:pt idx="624">
                  <c:v>5891.66259765625</c:v>
                </c:pt>
                <c:pt idx="625">
                  <c:v>5841.42529296875</c:v>
                </c:pt>
                <c:pt idx="626">
                  <c:v>5865.322265625</c:v>
                </c:pt>
                <c:pt idx="627">
                  <c:v>5875.90673828125</c:v>
                </c:pt>
                <c:pt idx="628">
                  <c:v>5843.81982421875</c:v>
                </c:pt>
                <c:pt idx="629">
                  <c:v>5822.26904296875</c:v>
                </c:pt>
                <c:pt idx="630">
                  <c:v>5816.138671875</c:v>
                </c:pt>
                <c:pt idx="631">
                  <c:v>5813.26513671875</c:v>
                </c:pt>
                <c:pt idx="632">
                  <c:v>5857.3251953125</c:v>
                </c:pt>
                <c:pt idx="633">
                  <c:v>5877.630859375</c:v>
                </c:pt>
                <c:pt idx="634">
                  <c:v>6027.81591796875</c:v>
                </c:pt>
                <c:pt idx="635">
                  <c:v>5904.0185546875</c:v>
                </c:pt>
                <c:pt idx="636">
                  <c:v>6025.27734375</c:v>
                </c:pt>
                <c:pt idx="637">
                  <c:v>6113.7314453125</c:v>
                </c:pt>
                <c:pt idx="638">
                  <c:v>6027.1455078125</c:v>
                </c:pt>
                <c:pt idx="639">
                  <c:v>6036.14892578125</c:v>
                </c:pt>
                <c:pt idx="640">
                  <c:v>6043.28466796875</c:v>
                </c:pt>
                <c:pt idx="641">
                  <c:v>5888.119140625</c:v>
                </c:pt>
                <c:pt idx="642">
                  <c:v>6098.4072265625</c:v>
                </c:pt>
                <c:pt idx="643">
                  <c:v>6085.859375</c:v>
                </c:pt>
                <c:pt idx="644">
                  <c:v>6050.75537109375</c:v>
                </c:pt>
                <c:pt idx="645">
                  <c:v>6060.38134765625</c:v>
                </c:pt>
                <c:pt idx="646">
                  <c:v>6052.14501953125</c:v>
                </c:pt>
                <c:pt idx="647">
                  <c:v>6036.24462890625</c:v>
                </c:pt>
                <c:pt idx="648">
                  <c:v>6160.42529296875</c:v>
                </c:pt>
                <c:pt idx="649">
                  <c:v>6113.10986328125</c:v>
                </c:pt>
                <c:pt idx="650">
                  <c:v>6165.357421875</c:v>
                </c:pt>
                <c:pt idx="651">
                  <c:v>6225.93994140625</c:v>
                </c:pt>
                <c:pt idx="652">
                  <c:v>6104.345703125</c:v>
                </c:pt>
                <c:pt idx="653">
                  <c:v>6101.85498046875</c:v>
                </c:pt>
                <c:pt idx="654">
                  <c:v>6167.1298828125</c:v>
                </c:pt>
                <c:pt idx="655">
                  <c:v>6227.61572265625</c:v>
                </c:pt>
                <c:pt idx="656">
                  <c:v>6179.4384765625</c:v>
                </c:pt>
                <c:pt idx="657">
                  <c:v>6125.5615234375</c:v>
                </c:pt>
                <c:pt idx="658">
                  <c:v>6172.01513671875</c:v>
                </c:pt>
                <c:pt idx="659">
                  <c:v>5982.4150390625</c:v>
                </c:pt>
                <c:pt idx="660">
                  <c:v>6059.4716796875</c:v>
                </c:pt>
                <c:pt idx="661">
                  <c:v>6066.2724609375</c:v>
                </c:pt>
                <c:pt idx="662">
                  <c:v>6133.462890625</c:v>
                </c:pt>
                <c:pt idx="663">
                  <c:v>6074.3662109375</c:v>
                </c:pt>
                <c:pt idx="664">
                  <c:v>6138.49169921875</c:v>
                </c:pt>
                <c:pt idx="665">
                  <c:v>6141.89111328125</c:v>
                </c:pt>
                <c:pt idx="666">
                  <c:v>6101.232421875</c:v>
                </c:pt>
                <c:pt idx="667">
                  <c:v>6068.283203125</c:v>
                </c:pt>
                <c:pt idx="668">
                  <c:v>6064.78759765625</c:v>
                </c:pt>
                <c:pt idx="669">
                  <c:v>6043.859375</c:v>
                </c:pt>
                <c:pt idx="670">
                  <c:v>7241.60693359375</c:v>
                </c:pt>
                <c:pt idx="671">
                  <c:v>6958.95556640625</c:v>
                </c:pt>
                <c:pt idx="672">
                  <c:v>6974.80712890625</c:v>
                </c:pt>
                <c:pt idx="673">
                  <c:v>6772.42138671875</c:v>
                </c:pt>
                <c:pt idx="674">
                  <c:v>6631.3828125</c:v>
                </c:pt>
                <c:pt idx="675">
                  <c:v>6776.4921875</c:v>
                </c:pt>
                <c:pt idx="676">
                  <c:v>6793.25341796875</c:v>
                </c:pt>
                <c:pt idx="677">
                  <c:v>6880.845703125</c:v>
                </c:pt>
                <c:pt idx="678">
                  <c:v>7045.68603515625</c:v>
                </c:pt>
                <c:pt idx="679">
                  <c:v>7091.0859375</c:v>
                </c:pt>
                <c:pt idx="680">
                  <c:v>7394.37841796875</c:v>
                </c:pt>
                <c:pt idx="681">
                  <c:v>7831.81201171875</c:v>
                </c:pt>
                <c:pt idx="682">
                  <c:v>7837.84619140625</c:v>
                </c:pt>
                <c:pt idx="683">
                  <c:v>7630.04833984375</c:v>
                </c:pt>
                <c:pt idx="684">
                  <c:v>7705.28466796875</c:v>
                </c:pt>
                <c:pt idx="685">
                  <c:v>7552.94482421875</c:v>
                </c:pt>
                <c:pt idx="686">
                  <c:v>7492.45849609375</c:v>
                </c:pt>
                <c:pt idx="687">
                  <c:v>7584.21728515625</c:v>
                </c:pt>
                <c:pt idx="688">
                  <c:v>7736.36572265625</c:v>
                </c:pt>
                <c:pt idx="689">
                  <c:v>7784.3525390625</c:v>
                </c:pt>
                <c:pt idx="690">
                  <c:v>7605.24169921875</c:v>
                </c:pt>
                <c:pt idx="691">
                  <c:v>7543.94140625</c:v>
                </c:pt>
                <c:pt idx="692">
                  <c:v>7530.626953125</c:v>
                </c:pt>
                <c:pt idx="693">
                  <c:v>7356.017578125</c:v>
                </c:pt>
                <c:pt idx="694">
                  <c:v>7390.451171875</c:v>
                </c:pt>
                <c:pt idx="695">
                  <c:v>7411.6669921875</c:v>
                </c:pt>
                <c:pt idx="696">
                  <c:v>7525.59814453125</c:v>
                </c:pt>
                <c:pt idx="697">
                  <c:v>7516.40380859375</c:v>
                </c:pt>
                <c:pt idx="698">
                  <c:v>7566.498046875</c:v>
                </c:pt>
                <c:pt idx="699">
                  <c:v>7572.67529296875</c:v>
                </c:pt>
                <c:pt idx="700">
                  <c:v>7820.74951171875</c:v>
                </c:pt>
                <c:pt idx="701">
                  <c:v>7818.49853515625</c:v>
                </c:pt>
                <c:pt idx="702">
                  <c:v>8152.009765625</c:v>
                </c:pt>
                <c:pt idx="703">
                  <c:v>8226.9111328125</c:v>
                </c:pt>
                <c:pt idx="704">
                  <c:v>8207.3232421875</c:v>
                </c:pt>
                <c:pt idx="705">
                  <c:v>8197.41015625</c:v>
                </c:pt>
                <c:pt idx="706">
                  <c:v>7998.08837890625</c:v>
                </c:pt>
                <c:pt idx="707">
                  <c:v>8274.7529296875</c:v>
                </c:pt>
                <c:pt idx="708">
                  <c:v>8326.7626953125</c:v>
                </c:pt>
                <c:pt idx="709">
                  <c:v>8512.1005859375</c:v>
                </c:pt>
                <c:pt idx="710">
                  <c:v>8614.107421875</c:v>
                </c:pt>
                <c:pt idx="711">
                  <c:v>8459.609375</c:v>
                </c:pt>
                <c:pt idx="712">
                  <c:v>8554.794921875</c:v>
                </c:pt>
                <c:pt idx="713">
                  <c:v>8359.427734375</c:v>
                </c:pt>
                <c:pt idx="714">
                  <c:v>8492.9560546875</c:v>
                </c:pt>
                <c:pt idx="715">
                  <c:v>8166.68017578125</c:v>
                </c:pt>
                <c:pt idx="716">
                  <c:v>8242.5947265625</c:v>
                </c:pt>
                <c:pt idx="717">
                  <c:v>8342.3896484375</c:v>
                </c:pt>
                <c:pt idx="718">
                  <c:v>8346.8544921875</c:v>
                </c:pt>
                <c:pt idx="719">
                  <c:v>8208.47265625</c:v>
                </c:pt>
                <c:pt idx="720">
                  <c:v>8446.7470703125</c:v>
                </c:pt>
                <c:pt idx="721">
                  <c:v>8343.6025390625</c:v>
                </c:pt>
                <c:pt idx="722">
                  <c:v>8159.39990234375</c:v>
                </c:pt>
                <c:pt idx="723">
                  <c:v>8066.2548828125</c:v>
                </c:pt>
                <c:pt idx="724">
                  <c:v>8329.1396484375</c:v>
                </c:pt>
                <c:pt idx="725">
                  <c:v>8322.73046875</c:v>
                </c:pt>
                <c:pt idx="726">
                  <c:v>8300.5498046875</c:v>
                </c:pt>
                <c:pt idx="727">
                  <c:v>8312.4892578125</c:v>
                </c:pt>
                <c:pt idx="728">
                  <c:v>8468.2978515625</c:v>
                </c:pt>
                <c:pt idx="729">
                  <c:v>8430.875</c:v>
                </c:pt>
                <c:pt idx="730">
                  <c:v>8477.6181640625</c:v>
                </c:pt>
                <c:pt idx="731">
                  <c:v>8271.37890625</c:v>
                </c:pt>
                <c:pt idx="732">
                  <c:v>8342.923828125</c:v>
                </c:pt>
                <c:pt idx="733">
                  <c:v>8120.27783203125</c:v>
                </c:pt>
                <c:pt idx="734">
                  <c:v>8154.302734375</c:v>
                </c:pt>
                <c:pt idx="735">
                  <c:v>8344.5732421875</c:v>
                </c:pt>
                <c:pt idx="736">
                  <c:v>8246.283203125</c:v>
                </c:pt>
                <c:pt idx="737">
                  <c:v>8184.00927734375</c:v>
                </c:pt>
                <c:pt idx="738">
                  <c:v>8370.4931640625</c:v>
                </c:pt>
                <c:pt idx="739">
                  <c:v>8318.314453125</c:v>
                </c:pt>
                <c:pt idx="740">
                  <c:v>8299.8701171875</c:v>
                </c:pt>
                <c:pt idx="741">
                  <c:v>8644.541015625</c:v>
                </c:pt>
                <c:pt idx="742">
                  <c:v>8643.619140625</c:v>
                </c:pt>
                <c:pt idx="743">
                  <c:v>8621.3876953125</c:v>
                </c:pt>
                <c:pt idx="744">
                  <c:v>8630.8056640625</c:v>
                </c:pt>
                <c:pt idx="745">
                  <c:v>8628.9111328125</c:v>
                </c:pt>
                <c:pt idx="746">
                  <c:v>8633.619140625</c:v>
                </c:pt>
                <c:pt idx="747">
                  <c:v>8646.2890625</c:v>
                </c:pt>
                <c:pt idx="748">
                  <c:v>8509.3134765625</c:v>
                </c:pt>
                <c:pt idx="749">
                  <c:v>8634.056640625</c:v>
                </c:pt>
                <c:pt idx="750">
                  <c:v>8611.6318359375</c:v>
                </c:pt>
                <c:pt idx="751">
                  <c:v>8583.2373046875</c:v>
                </c:pt>
                <c:pt idx="752">
                  <c:v>8509.3134765625</c:v>
                </c:pt>
                <c:pt idx="753">
                  <c:v>8414.80859375</c:v>
                </c:pt>
                <c:pt idx="754">
                  <c:v>8443.6416015625</c:v>
                </c:pt>
                <c:pt idx="755">
                  <c:v>8459.076171875</c:v>
                </c:pt>
                <c:pt idx="756">
                  <c:v>8471.1142578125</c:v>
                </c:pt>
                <c:pt idx="757">
                  <c:v>8535.0869140625</c:v>
                </c:pt>
                <c:pt idx="758">
                  <c:v>8397.3349609375</c:v>
                </c:pt>
                <c:pt idx="759">
                  <c:v>8297.685546875</c:v>
                </c:pt>
                <c:pt idx="760">
                  <c:v>8374.5224609375</c:v>
                </c:pt>
                <c:pt idx="761">
                  <c:v>8553.580078125</c:v>
                </c:pt>
                <c:pt idx="762">
                  <c:v>8538.82421875</c:v>
                </c:pt>
                <c:pt idx="763">
                  <c:v>8540.0869140625</c:v>
                </c:pt>
                <c:pt idx="764">
                  <c:v>8475.3837890625</c:v>
                </c:pt>
                <c:pt idx="765">
                  <c:v>8448.8349609375</c:v>
                </c:pt>
                <c:pt idx="766">
                  <c:v>8431.2138671875</c:v>
                </c:pt>
                <c:pt idx="767">
                  <c:v>8343.1171875</c:v>
                </c:pt>
                <c:pt idx="768">
                  <c:v>8339.3310546875</c:v>
                </c:pt>
                <c:pt idx="769">
                  <c:v>8407.576171875</c:v>
                </c:pt>
                <c:pt idx="770">
                  <c:v>8261.427734375</c:v>
                </c:pt>
                <c:pt idx="771">
                  <c:v>8278.2216796875</c:v>
                </c:pt>
                <c:pt idx="772">
                  <c:v>8227.4990234375</c:v>
                </c:pt>
                <c:pt idx="773">
                  <c:v>8203.3759765625</c:v>
                </c:pt>
                <c:pt idx="774">
                  <c:v>8345.0595703125</c:v>
                </c:pt>
                <c:pt idx="775">
                  <c:v>8262.7861328125</c:v>
                </c:pt>
                <c:pt idx="776">
                  <c:v>8303.169921875</c:v>
                </c:pt>
                <c:pt idx="777">
                  <c:v>8349.087890625</c:v>
                </c:pt>
                <c:pt idx="778">
                  <c:v>8534.9892578125</c:v>
                </c:pt>
                <c:pt idx="779">
                  <c:v>8535.6689453125</c:v>
                </c:pt>
                <c:pt idx="780">
                  <c:v>8566.296875</c:v>
                </c:pt>
                <c:pt idx="781">
                  <c:v>8623.330078125</c:v>
                </c:pt>
                <c:pt idx="782">
                  <c:v>8572.7529296875</c:v>
                </c:pt>
                <c:pt idx="783">
                  <c:v>8493.3427734375</c:v>
                </c:pt>
                <c:pt idx="784">
                  <c:v>8454.0771484375</c:v>
                </c:pt>
                <c:pt idx="785">
                  <c:v>8398.306640625</c:v>
                </c:pt>
                <c:pt idx="786">
                  <c:v>8246.6240234375</c:v>
                </c:pt>
                <c:pt idx="787">
                  <c:v>8202.9873046875</c:v>
                </c:pt>
                <c:pt idx="788">
                  <c:v>8222.5</c:v>
                </c:pt>
                <c:pt idx="789">
                  <c:v>8229.974609375</c:v>
                </c:pt>
                <c:pt idx="790">
                  <c:v>8280.115234375</c:v>
                </c:pt>
                <c:pt idx="791">
                  <c:v>8267.30078125</c:v>
                </c:pt>
                <c:pt idx="792">
                  <c:v>8247.4970703125</c:v>
                </c:pt>
                <c:pt idx="793">
                  <c:v>8227.7900390625</c:v>
                </c:pt>
                <c:pt idx="794">
                  <c:v>8060.18798828125</c:v>
                </c:pt>
                <c:pt idx="795">
                  <c:v>8250.021484375</c:v>
                </c:pt>
                <c:pt idx="796">
                  <c:v>8263.5146484375</c:v>
                </c:pt>
                <c:pt idx="797">
                  <c:v>8263.5146484375</c:v>
                </c:pt>
                <c:pt idx="798">
                  <c:v>8220.1708984375</c:v>
                </c:pt>
                <c:pt idx="799">
                  <c:v>8154.01220703125</c:v>
                </c:pt>
                <c:pt idx="800">
                  <c:v>8152.36181640625</c:v>
                </c:pt>
                <c:pt idx="801">
                  <c:v>8184.93115234375</c:v>
                </c:pt>
                <c:pt idx="802">
                  <c:v>8388.5986328125</c:v>
                </c:pt>
                <c:pt idx="803">
                  <c:v>8381.8505859375</c:v>
                </c:pt>
                <c:pt idx="804">
                  <c:v>8407.7705078125</c:v>
                </c:pt>
                <c:pt idx="805">
                  <c:v>8398.16015625</c:v>
                </c:pt>
                <c:pt idx="806">
                  <c:v>8497.615234375</c:v>
                </c:pt>
                <c:pt idx="807">
                  <c:v>8667.451171875</c:v>
                </c:pt>
                <c:pt idx="808">
                  <c:v>8727.10546875</c:v>
                </c:pt>
                <c:pt idx="809">
                  <c:v>8734.2392578125</c:v>
                </c:pt>
                <c:pt idx="810">
                  <c:v>8691.33203125</c:v>
                </c:pt>
                <c:pt idx="811">
                  <c:v>8690.361328125</c:v>
                </c:pt>
                <c:pt idx="812">
                  <c:v>8688.80859375</c:v>
                </c:pt>
                <c:pt idx="813">
                  <c:v>8687.44921875</c:v>
                </c:pt>
                <c:pt idx="814">
                  <c:v>8785.8369140625</c:v>
                </c:pt>
                <c:pt idx="815">
                  <c:v>8797.048828125</c:v>
                </c:pt>
                <c:pt idx="816">
                  <c:v>8787.0986328125</c:v>
                </c:pt>
                <c:pt idx="817">
                  <c:v>8804.0380859375</c:v>
                </c:pt>
                <c:pt idx="818">
                  <c:v>8777.2939453125</c:v>
                </c:pt>
                <c:pt idx="819">
                  <c:v>8692.44921875</c:v>
                </c:pt>
                <c:pt idx="820">
                  <c:v>8774.9638671875</c:v>
                </c:pt>
                <c:pt idx="821">
                  <c:v>8743.1220703125</c:v>
                </c:pt>
                <c:pt idx="822">
                  <c:v>8907.9111328125</c:v>
                </c:pt>
                <c:pt idx="823">
                  <c:v>8879.466796875</c:v>
                </c:pt>
                <c:pt idx="824">
                  <c:v>8799.0380859375</c:v>
                </c:pt>
                <c:pt idx="825">
                  <c:v>8667.7900390625</c:v>
                </c:pt>
                <c:pt idx="826">
                  <c:v>8282.6865234375</c:v>
                </c:pt>
                <c:pt idx="827">
                  <c:v>8442.4765625</c:v>
                </c:pt>
                <c:pt idx="828">
                  <c:v>8432.0888671875</c:v>
                </c:pt>
                <c:pt idx="829">
                  <c:v>8485.9658203125</c:v>
                </c:pt>
                <c:pt idx="830">
                  <c:v>8489.12109375</c:v>
                </c:pt>
                <c:pt idx="831">
                  <c:v>8501.0615234375</c:v>
                </c:pt>
                <c:pt idx="832">
                  <c:v>8527.078125</c:v>
                </c:pt>
                <c:pt idx="833">
                  <c:v>8383.2587890625</c:v>
                </c:pt>
                <c:pt idx="834">
                  <c:v>8445.630859375</c:v>
                </c:pt>
                <c:pt idx="835">
                  <c:v>8351.078125</c:v>
                </c:pt>
                <c:pt idx="836">
                  <c:v>8314.9169921875</c:v>
                </c:pt>
                <c:pt idx="837">
                  <c:v>8226.28515625</c:v>
                </c:pt>
                <c:pt idx="838">
                  <c:v>8335.158203125</c:v>
                </c:pt>
                <c:pt idx="839">
                  <c:v>8311.4228515625</c:v>
                </c:pt>
                <c:pt idx="840">
                  <c:v>8119.35595703125</c:v>
                </c:pt>
                <c:pt idx="841">
                  <c:v>8348.1171875</c:v>
                </c:pt>
                <c:pt idx="842">
                  <c:v>8496.2080078125</c:v>
                </c:pt>
                <c:pt idx="843">
                  <c:v>8454.1728515625</c:v>
                </c:pt>
                <c:pt idx="844">
                  <c:v>8267.05859375</c:v>
                </c:pt>
                <c:pt idx="845">
                  <c:v>8347.9228515625</c:v>
                </c:pt>
                <c:pt idx="846">
                  <c:v>8164.59375</c:v>
                </c:pt>
                <c:pt idx="847">
                  <c:v>8008.68798828125</c:v>
                </c:pt>
                <c:pt idx="848">
                  <c:v>7924.6201171875</c:v>
                </c:pt>
                <c:pt idx="849">
                  <c:v>7758.7158203125</c:v>
                </c:pt>
                <c:pt idx="850">
                  <c:v>7434.47900390625</c:v>
                </c:pt>
                <c:pt idx="851">
                  <c:v>7226.4921875</c:v>
                </c:pt>
                <c:pt idx="852">
                  <c:v>7003.2158203125</c:v>
                </c:pt>
                <c:pt idx="853">
                  <c:v>7129.31787109375</c:v>
                </c:pt>
                <c:pt idx="854">
                  <c:v>7381.66943359375</c:v>
                </c:pt>
                <c:pt idx="855">
                  <c:v>7326.966796875</c:v>
                </c:pt>
                <c:pt idx="856">
                  <c:v>7385.552734375</c:v>
                </c:pt>
                <c:pt idx="857">
                  <c:v>7616.93505859375</c:v>
                </c:pt>
                <c:pt idx="858">
                  <c:v>7451.41845703125</c:v>
                </c:pt>
                <c:pt idx="859">
                  <c:v>7278.57373046875</c:v>
                </c:pt>
                <c:pt idx="860">
                  <c:v>7384.33935546875</c:v>
                </c:pt>
                <c:pt idx="861">
                  <c:v>7188.63232421875</c:v>
                </c:pt>
                <c:pt idx="862">
                  <c:v>7082.62451171875</c:v>
                </c:pt>
                <c:pt idx="863">
                  <c:v>7183.7294921875</c:v>
                </c:pt>
                <c:pt idx="864">
                  <c:v>7136.45361328125</c:v>
                </c:pt>
                <c:pt idx="865">
                  <c:v>7139.65673828125</c:v>
                </c:pt>
                <c:pt idx="866">
                  <c:v>7169.89599609375</c:v>
                </c:pt>
                <c:pt idx="867">
                  <c:v>7084.12939453125</c:v>
                </c:pt>
                <c:pt idx="868">
                  <c:v>7148.10302734375</c:v>
                </c:pt>
                <c:pt idx="869">
                  <c:v>7121.1640625</c:v>
                </c:pt>
                <c:pt idx="870">
                  <c:v>6998.16748046875</c:v>
                </c:pt>
                <c:pt idx="871">
                  <c:v>7092.5263671875</c:v>
                </c:pt>
                <c:pt idx="872">
                  <c:v>7072.673828125</c:v>
                </c:pt>
                <c:pt idx="873">
                  <c:v>7076.8486328125</c:v>
                </c:pt>
                <c:pt idx="874">
                  <c:v>7165.236328125</c:v>
                </c:pt>
                <c:pt idx="875">
                  <c:v>7106.55322265625</c:v>
                </c:pt>
                <c:pt idx="876">
                  <c:v>7031.75634765625</c:v>
                </c:pt>
                <c:pt idx="877">
                  <c:v>7029.9599609375</c:v>
                </c:pt>
                <c:pt idx="878">
                  <c:v>7003.4091796875</c:v>
                </c:pt>
                <c:pt idx="879">
                  <c:v>7130.67724609375</c:v>
                </c:pt>
                <c:pt idx="880">
                  <c:v>7337.49951171875</c:v>
                </c:pt>
                <c:pt idx="881">
                  <c:v>7355.2646484375</c:v>
                </c:pt>
                <c:pt idx="882">
                  <c:v>7389.62939453125</c:v>
                </c:pt>
                <c:pt idx="883">
                  <c:v>7324.34521484375</c:v>
                </c:pt>
                <c:pt idx="884">
                  <c:v>7370.79638671875</c:v>
                </c:pt>
                <c:pt idx="885">
                  <c:v>7352.837890625</c:v>
                </c:pt>
                <c:pt idx="886">
                  <c:v>7426.27587890625</c:v>
                </c:pt>
                <c:pt idx="887">
                  <c:v>7593.53955078125</c:v>
                </c:pt>
                <c:pt idx="888">
                  <c:v>7698.67333984375</c:v>
                </c:pt>
                <c:pt idx="889">
                  <c:v>7741.53271484375</c:v>
                </c:pt>
                <c:pt idx="890">
                  <c:v>7713.4775390625</c:v>
                </c:pt>
                <c:pt idx="891">
                  <c:v>7744.5908203125</c:v>
                </c:pt>
                <c:pt idx="892">
                  <c:v>7870.5966796875</c:v>
                </c:pt>
                <c:pt idx="893">
                  <c:v>7809.29296875</c:v>
                </c:pt>
                <c:pt idx="894">
                  <c:v>7679.06396484375</c:v>
                </c:pt>
                <c:pt idx="895">
                  <c:v>7660.2802734375</c:v>
                </c:pt>
                <c:pt idx="896">
                  <c:v>7789.7802734375</c:v>
                </c:pt>
                <c:pt idx="897">
                  <c:v>7762.30712890625</c:v>
                </c:pt>
                <c:pt idx="898">
                  <c:v>7756.43408203125</c:v>
                </c:pt>
                <c:pt idx="899">
                  <c:v>7774.29638671875</c:v>
                </c:pt>
                <c:pt idx="900">
                  <c:v>7769.05419921875</c:v>
                </c:pt>
                <c:pt idx="901">
                  <c:v>7841.1337890625</c:v>
                </c:pt>
                <c:pt idx="902">
                  <c:v>7740.173828125</c:v>
                </c:pt>
                <c:pt idx="903">
                  <c:v>7746.7265625</c:v>
                </c:pt>
                <c:pt idx="904">
                  <c:v>7784.44091796875</c:v>
                </c:pt>
                <c:pt idx="905">
                  <c:v>7801.38037109375</c:v>
                </c:pt>
                <c:pt idx="906">
                  <c:v>7757.11376953125</c:v>
                </c:pt>
                <c:pt idx="907">
                  <c:v>7754.4443359375</c:v>
                </c:pt>
                <c:pt idx="908">
                  <c:v>7674.79248046875</c:v>
                </c:pt>
                <c:pt idx="909">
                  <c:v>7540.05029296875</c:v>
                </c:pt>
                <c:pt idx="910">
                  <c:v>7552.2333984375</c:v>
                </c:pt>
                <c:pt idx="911">
                  <c:v>7525.876953125</c:v>
                </c:pt>
                <c:pt idx="912">
                  <c:v>7670.37548828125</c:v>
                </c:pt>
                <c:pt idx="913">
                  <c:v>7728.33056640625</c:v>
                </c:pt>
                <c:pt idx="914">
                  <c:v>7702.556640625</c:v>
                </c:pt>
                <c:pt idx="915">
                  <c:v>7730.80615234375</c:v>
                </c:pt>
                <c:pt idx="916">
                  <c:v>7705.03173828125</c:v>
                </c:pt>
                <c:pt idx="917">
                  <c:v>7715.51611328125</c:v>
                </c:pt>
                <c:pt idx="918">
                  <c:v>7684.7431640625</c:v>
                </c:pt>
                <c:pt idx="919">
                  <c:v>7635.2333984375</c:v>
                </c:pt>
                <c:pt idx="920">
                  <c:v>7630.8173828125</c:v>
                </c:pt>
                <c:pt idx="921">
                  <c:v>7609.36279296875</c:v>
                </c:pt>
                <c:pt idx="922">
                  <c:v>7603.392578125</c:v>
                </c:pt>
                <c:pt idx="923">
                  <c:v>7601.49951171875</c:v>
                </c:pt>
                <c:pt idx="924">
                  <c:v>7691.5380859375</c:v>
                </c:pt>
                <c:pt idx="925">
                  <c:v>7722.65185546875</c:v>
                </c:pt>
                <c:pt idx="926">
                  <c:v>7658.8720703125</c:v>
                </c:pt>
                <c:pt idx="927">
                  <c:v>7672.123046875</c:v>
                </c:pt>
                <c:pt idx="928">
                  <c:v>7636.83544921875</c:v>
                </c:pt>
                <c:pt idx="929">
                  <c:v>7644.94140625</c:v>
                </c:pt>
                <c:pt idx="930">
                  <c:v>7595.529296875</c:v>
                </c:pt>
                <c:pt idx="931">
                  <c:v>7572.1826171875</c:v>
                </c:pt>
                <c:pt idx="932">
                  <c:v>7629.84619140625</c:v>
                </c:pt>
                <c:pt idx="933">
                  <c:v>7726.486328125</c:v>
                </c:pt>
                <c:pt idx="934">
                  <c:v>7797.06103515625</c:v>
                </c:pt>
                <c:pt idx="935">
                  <c:v>7838.26953125</c:v>
                </c:pt>
                <c:pt idx="936">
                  <c:v>7832.9306640625</c:v>
                </c:pt>
                <c:pt idx="937">
                  <c:v>7878.36279296875</c:v>
                </c:pt>
                <c:pt idx="938">
                  <c:v>7895.0595703125</c:v>
                </c:pt>
                <c:pt idx="939">
                  <c:v>8234.876953125</c:v>
                </c:pt>
                <c:pt idx="940">
                  <c:v>8204.2001953125</c:v>
                </c:pt>
                <c:pt idx="941">
                  <c:v>8166.92333984375</c:v>
                </c:pt>
                <c:pt idx="942">
                  <c:v>8283.318359375</c:v>
                </c:pt>
                <c:pt idx="943">
                  <c:v>8480.91796875</c:v>
                </c:pt>
                <c:pt idx="944">
                  <c:v>8962.953125</c:v>
                </c:pt>
                <c:pt idx="945">
                  <c:v>8960.57421875</c:v>
                </c:pt>
                <c:pt idx="946">
                  <c:v>8917.8115234375</c:v>
                </c:pt>
                <c:pt idx="947">
                  <c:v>8948.876953125</c:v>
                </c:pt>
                <c:pt idx="948">
                  <c:v>9034.4013671875</c:v>
                </c:pt>
                <c:pt idx="949">
                  <c:v>9331.5048828125</c:v>
                </c:pt>
                <c:pt idx="950">
                  <c:v>9402.8076171875</c:v>
                </c:pt>
                <c:pt idx="951">
                  <c:v>9400.8662109375</c:v>
                </c:pt>
                <c:pt idx="952">
                  <c:v>9403.1474609375</c:v>
                </c:pt>
                <c:pt idx="953">
                  <c:v>9362.083984375</c:v>
                </c:pt>
                <c:pt idx="954">
                  <c:v>9263.6484375</c:v>
                </c:pt>
                <c:pt idx="955">
                  <c:v>9264.23046875</c:v>
                </c:pt>
                <c:pt idx="956">
                  <c:v>9237.09765625</c:v>
                </c:pt>
                <c:pt idx="957">
                  <c:v>9172.15234375</c:v>
                </c:pt>
                <c:pt idx="958">
                  <c:v>9124.9736328125</c:v>
                </c:pt>
                <c:pt idx="959">
                  <c:v>9039.9345703125</c:v>
                </c:pt>
                <c:pt idx="960">
                  <c:v>9099.7822265625</c:v>
                </c:pt>
                <c:pt idx="961">
                  <c:v>9071.8251953125</c:v>
                </c:pt>
                <c:pt idx="962">
                  <c:v>8894.9736328125</c:v>
                </c:pt>
                <c:pt idx="963">
                  <c:v>8818.73046875</c:v>
                </c:pt>
                <c:pt idx="964">
                  <c:v>8677.4658203125</c:v>
                </c:pt>
                <c:pt idx="965">
                  <c:v>8860.765625</c:v>
                </c:pt>
                <c:pt idx="966">
                  <c:v>8857.025390625</c:v>
                </c:pt>
                <c:pt idx="967">
                  <c:v>8562.4375</c:v>
                </c:pt>
                <c:pt idx="968">
                  <c:v>8440.369140625</c:v>
                </c:pt>
                <c:pt idx="969">
                  <c:v>8572.6259765625</c:v>
                </c:pt>
                <c:pt idx="970">
                  <c:v>8469.5078125</c:v>
                </c:pt>
                <c:pt idx="971">
                  <c:v>8444.50390625</c:v>
                </c:pt>
                <c:pt idx="972">
                  <c:v>8400.205078125</c:v>
                </c:pt>
                <c:pt idx="973">
                  <c:v>8677.8603515625</c:v>
                </c:pt>
                <c:pt idx="974">
                  <c:v>8560.9609375</c:v>
                </c:pt>
                <c:pt idx="975">
                  <c:v>8707.2939453125</c:v>
                </c:pt>
                <c:pt idx="976">
                  <c:v>8733.283203125</c:v>
                </c:pt>
                <c:pt idx="977">
                  <c:v>8665.3095703125</c:v>
                </c:pt>
                <c:pt idx="978">
                  <c:v>8512.9697265625</c:v>
                </c:pt>
                <c:pt idx="979">
                  <c:v>8665.505859375</c:v>
                </c:pt>
                <c:pt idx="980">
                  <c:v>8855.3515625</c:v>
                </c:pt>
                <c:pt idx="981">
                  <c:v>8827.8369140625</c:v>
                </c:pt>
                <c:pt idx="982">
                  <c:v>8747.3115234375</c:v>
                </c:pt>
                <c:pt idx="983">
                  <c:v>8761.3388671875</c:v>
                </c:pt>
                <c:pt idx="984">
                  <c:v>8845.1630859375</c:v>
                </c:pt>
                <c:pt idx="985">
                  <c:v>8906.146484375</c:v>
                </c:pt>
                <c:pt idx="986">
                  <c:v>8954.53125</c:v>
                </c:pt>
                <c:pt idx="987">
                  <c:v>8943.3583984375</c:v>
                </c:pt>
                <c:pt idx="988">
                  <c:v>8893.595703125</c:v>
                </c:pt>
                <c:pt idx="989">
                  <c:v>8891.578125</c:v>
                </c:pt>
                <c:pt idx="990">
                  <c:v>8855.0068359375</c:v>
                </c:pt>
                <c:pt idx="991">
                  <c:v>8849.248046875</c:v>
                </c:pt>
                <c:pt idx="992">
                  <c:v>8843.9326171875</c:v>
                </c:pt>
                <c:pt idx="993">
                  <c:v>8784.3251953125</c:v>
                </c:pt>
                <c:pt idx="994">
                  <c:v>8778.8125</c:v>
                </c:pt>
                <c:pt idx="995">
                  <c:v>8829.166015625</c:v>
                </c:pt>
                <c:pt idx="996">
                  <c:v>8827.8857421875</c:v>
                </c:pt>
                <c:pt idx="997">
                  <c:v>8820.20703125</c:v>
                </c:pt>
                <c:pt idx="998">
                  <c:v>8815.8759765625</c:v>
                </c:pt>
                <c:pt idx="999">
                  <c:v>8693.462890625</c:v>
                </c:pt>
                <c:pt idx="1000">
                  <c:v>8709.3125</c:v>
                </c:pt>
                <c:pt idx="1001">
                  <c:v>8636.0712890625</c:v>
                </c:pt>
                <c:pt idx="1002">
                  <c:v>8685.8828125</c:v>
                </c:pt>
                <c:pt idx="1003">
                  <c:v>8580.5498046875</c:v>
                </c:pt>
                <c:pt idx="1004">
                  <c:v>8645.275390625</c:v>
                </c:pt>
                <c:pt idx="1005">
                  <c:v>8635.875</c:v>
                </c:pt>
                <c:pt idx="1006">
                  <c:v>8676.4814453125</c:v>
                </c:pt>
                <c:pt idx="1007">
                  <c:v>8681.5517578125</c:v>
                </c:pt>
                <c:pt idx="1008">
                  <c:v>8542.1572265625</c:v>
                </c:pt>
                <c:pt idx="1009">
                  <c:v>8506.2763671875</c:v>
                </c:pt>
                <c:pt idx="1010">
                  <c:v>8463.5029296875</c:v>
                </c:pt>
                <c:pt idx="1011">
                  <c:v>8517.646484375</c:v>
                </c:pt>
                <c:pt idx="1012">
                  <c:v>8503.1259765625</c:v>
                </c:pt>
                <c:pt idx="1013">
                  <c:v>8584.5380859375</c:v>
                </c:pt>
                <c:pt idx="1014">
                  <c:v>8585.7177734375</c:v>
                </c:pt>
                <c:pt idx="1015">
                  <c:v>8575.283203125</c:v>
                </c:pt>
                <c:pt idx="1016">
                  <c:v>8551.263671875</c:v>
                </c:pt>
                <c:pt idx="1017">
                  <c:v>8551.263671875</c:v>
                </c:pt>
                <c:pt idx="1018">
                  <c:v>8564.50390625</c:v>
                </c:pt>
                <c:pt idx="1019">
                  <c:v>8584.5380859375</c:v>
                </c:pt>
                <c:pt idx="1020">
                  <c:v>8608.212890625</c:v>
                </c:pt>
                <c:pt idx="1021">
                  <c:v>8837.779296875</c:v>
                </c:pt>
                <c:pt idx="1022">
                  <c:v>8719.0087890625</c:v>
                </c:pt>
                <c:pt idx="1023">
                  <c:v>8698.4345703125</c:v>
                </c:pt>
                <c:pt idx="1024">
                  <c:v>8658.171875</c:v>
                </c:pt>
                <c:pt idx="1025">
                  <c:v>8795.44921875</c:v>
                </c:pt>
                <c:pt idx="1026">
                  <c:v>8698.1884765625</c:v>
                </c:pt>
                <c:pt idx="1027">
                  <c:v>8533.9384765625</c:v>
                </c:pt>
                <c:pt idx="1028">
                  <c:v>8484.5693359375</c:v>
                </c:pt>
                <c:pt idx="1029">
                  <c:v>8486.341796875</c:v>
                </c:pt>
                <c:pt idx="1030">
                  <c:v>8454.2490234375</c:v>
                </c:pt>
                <c:pt idx="1031">
                  <c:v>8443.173828125</c:v>
                </c:pt>
                <c:pt idx="1032">
                  <c:v>8340.9423828125</c:v>
                </c:pt>
                <c:pt idx="1033">
                  <c:v>8247.2744140625</c:v>
                </c:pt>
                <c:pt idx="1034">
                  <c:v>8198.9404296875</c:v>
                </c:pt>
                <c:pt idx="1035">
                  <c:v>8206.470703125</c:v>
                </c:pt>
                <c:pt idx="1036">
                  <c:v>7875.41015625</c:v>
                </c:pt>
                <c:pt idx="1037">
                  <c:v>7876.68994140625</c:v>
                </c:pt>
                <c:pt idx="1038">
                  <c:v>8044.09033203125</c:v>
                </c:pt>
                <c:pt idx="1039">
                  <c:v>8096.26513671875</c:v>
                </c:pt>
                <c:pt idx="1040">
                  <c:v>8014.45947265625</c:v>
                </c:pt>
                <c:pt idx="1041">
                  <c:v>7948.306640625</c:v>
                </c:pt>
                <c:pt idx="1042">
                  <c:v>8036.46142578125</c:v>
                </c:pt>
                <c:pt idx="1043">
                  <c:v>8043.25341796875</c:v>
                </c:pt>
                <c:pt idx="1044">
                  <c:v>7882.498046875</c:v>
                </c:pt>
                <c:pt idx="1045">
                  <c:v>7899.92236328125</c:v>
                </c:pt>
                <c:pt idx="1046">
                  <c:v>7696.83642578125</c:v>
                </c:pt>
                <c:pt idx="1047">
                  <c:v>7752.75146484375</c:v>
                </c:pt>
                <c:pt idx="1048">
                  <c:v>7866.2060546875</c:v>
                </c:pt>
                <c:pt idx="1049">
                  <c:v>7835.541015625</c:v>
                </c:pt>
                <c:pt idx="1050">
                  <c:v>7817.919921875</c:v>
                </c:pt>
                <c:pt idx="1051">
                  <c:v>8062.94189453125</c:v>
                </c:pt>
                <c:pt idx="1052">
                  <c:v>8420.0400390625</c:v>
                </c:pt>
                <c:pt idx="1053">
                  <c:v>8402.419921875</c:v>
                </c:pt>
                <c:pt idx="1054">
                  <c:v>8178.66064453125</c:v>
                </c:pt>
                <c:pt idx="1055">
                  <c:v>7984.82861328125</c:v>
                </c:pt>
                <c:pt idx="1056">
                  <c:v>7991.0302734375</c:v>
                </c:pt>
                <c:pt idx="1057">
                  <c:v>7997.42919921875</c:v>
                </c:pt>
                <c:pt idx="1058">
                  <c:v>7984.287109375</c:v>
                </c:pt>
                <c:pt idx="1059">
                  <c:v>7927.3876953125</c:v>
                </c:pt>
                <c:pt idx="1060">
                  <c:v>7986.9453125</c:v>
                </c:pt>
                <c:pt idx="1061">
                  <c:v>8025.09130859375</c:v>
                </c:pt>
                <c:pt idx="1062">
                  <c:v>8214.3955078125</c:v>
                </c:pt>
                <c:pt idx="1063">
                  <c:v>8130.9658203125</c:v>
                </c:pt>
                <c:pt idx="1064">
                  <c:v>7946.87890625</c:v>
                </c:pt>
                <c:pt idx="1065">
                  <c:v>7976.90380859375</c:v>
                </c:pt>
                <c:pt idx="1066">
                  <c:v>8036.412109375</c:v>
                </c:pt>
                <c:pt idx="1067">
                  <c:v>7973.4091796875</c:v>
                </c:pt>
                <c:pt idx="1068">
                  <c:v>7746.79541015625</c:v>
                </c:pt>
                <c:pt idx="1069">
                  <c:v>7758.70703125</c:v>
                </c:pt>
                <c:pt idx="1070">
                  <c:v>7820.2333984375</c:v>
                </c:pt>
                <c:pt idx="1071">
                  <c:v>7787.35400390625</c:v>
                </c:pt>
                <c:pt idx="1072">
                  <c:v>7702.98876953125</c:v>
                </c:pt>
                <c:pt idx="1073">
                  <c:v>7628.9111328125</c:v>
                </c:pt>
                <c:pt idx="1074">
                  <c:v>7592.63525390625</c:v>
                </c:pt>
                <c:pt idx="1075">
                  <c:v>7702.05419921875</c:v>
                </c:pt>
                <c:pt idx="1076">
                  <c:v>7628.8623046875</c:v>
                </c:pt>
                <c:pt idx="1077">
                  <c:v>7641.1181640625</c:v>
                </c:pt>
                <c:pt idx="1078">
                  <c:v>7499.3125</c:v>
                </c:pt>
                <c:pt idx="1079">
                  <c:v>7386.94091796875</c:v>
                </c:pt>
                <c:pt idx="1080">
                  <c:v>7500.8876953125</c:v>
                </c:pt>
                <c:pt idx="1081">
                  <c:v>7502.31494140625</c:v>
                </c:pt>
                <c:pt idx="1082">
                  <c:v>7553.25830078125</c:v>
                </c:pt>
                <c:pt idx="1083">
                  <c:v>7761.7587890625</c:v>
                </c:pt>
                <c:pt idx="1084">
                  <c:v>7591.65087890625</c:v>
                </c:pt>
                <c:pt idx="1085">
                  <c:v>7403.82373046875</c:v>
                </c:pt>
                <c:pt idx="1086">
                  <c:v>7384.6767578125</c:v>
                </c:pt>
                <c:pt idx="1087">
                  <c:v>7451.125</c:v>
                </c:pt>
                <c:pt idx="1088">
                  <c:v>7439.853515625</c:v>
                </c:pt>
                <c:pt idx="1089">
                  <c:v>7383.15087890625</c:v>
                </c:pt>
                <c:pt idx="1090">
                  <c:v>7410.517578125</c:v>
                </c:pt>
                <c:pt idx="1091">
                  <c:v>7416.818359375</c:v>
                </c:pt>
                <c:pt idx="1092">
                  <c:v>7353.17529296875</c:v>
                </c:pt>
                <c:pt idx="1093">
                  <c:v>7375.66943359375</c:v>
                </c:pt>
                <c:pt idx="1094">
                  <c:v>7395.6533203125</c:v>
                </c:pt>
                <c:pt idx="1095">
                  <c:v>7255.27490234375</c:v>
                </c:pt>
                <c:pt idx="1096">
                  <c:v>7261.3779296875</c:v>
                </c:pt>
                <c:pt idx="1097">
                  <c:v>7193.55126953125</c:v>
                </c:pt>
                <c:pt idx="1098">
                  <c:v>7162.0009765625</c:v>
                </c:pt>
                <c:pt idx="1099">
                  <c:v>7087.67724609375</c:v>
                </c:pt>
                <c:pt idx="1100">
                  <c:v>7201.525390625</c:v>
                </c:pt>
                <c:pt idx="1101">
                  <c:v>7092.0576171875</c:v>
                </c:pt>
                <c:pt idx="1102">
                  <c:v>7138.375</c:v>
                </c:pt>
                <c:pt idx="1103">
                  <c:v>7084.97021484375</c:v>
                </c:pt>
                <c:pt idx="1104">
                  <c:v>7154.96240234375</c:v>
                </c:pt>
                <c:pt idx="1105">
                  <c:v>7234.01123046875</c:v>
                </c:pt>
                <c:pt idx="1106">
                  <c:v>7144.52734375</c:v>
                </c:pt>
                <c:pt idx="1107">
                  <c:v>7098.505859375</c:v>
                </c:pt>
                <c:pt idx="1108">
                  <c:v>7105.49560546875</c:v>
                </c:pt>
                <c:pt idx="1109">
                  <c:v>7049.77734375</c:v>
                </c:pt>
                <c:pt idx="1110">
                  <c:v>7067.34912109375</c:v>
                </c:pt>
                <c:pt idx="1111">
                  <c:v>7366.21875</c:v>
                </c:pt>
                <c:pt idx="1112">
                  <c:v>7423.31494140625</c:v>
                </c:pt>
                <c:pt idx="1113">
                  <c:v>7356.423828125</c:v>
                </c:pt>
                <c:pt idx="1114">
                  <c:v>7371.9775390625</c:v>
                </c:pt>
                <c:pt idx="1115">
                  <c:v>7334.56982421875</c:v>
                </c:pt>
                <c:pt idx="1116">
                  <c:v>7372.9619140625</c:v>
                </c:pt>
                <c:pt idx="1117">
                  <c:v>7266.2509765625</c:v>
                </c:pt>
                <c:pt idx="1118">
                  <c:v>7436.5556640625</c:v>
                </c:pt>
                <c:pt idx="1119">
                  <c:v>7405.841796875</c:v>
                </c:pt>
                <c:pt idx="1120">
                  <c:v>7335.111328125</c:v>
                </c:pt>
                <c:pt idx="1121">
                  <c:v>7429.51708984375</c:v>
                </c:pt>
                <c:pt idx="1122">
                  <c:v>7447.63037109375</c:v>
                </c:pt>
                <c:pt idx="1123">
                  <c:v>7479.72265625</c:v>
                </c:pt>
                <c:pt idx="1124">
                  <c:v>7339.44287109375</c:v>
                </c:pt>
                <c:pt idx="1125">
                  <c:v>7326.79296875</c:v>
                </c:pt>
                <c:pt idx="1126">
                  <c:v>7218.85107421875</c:v>
                </c:pt>
                <c:pt idx="1127">
                  <c:v>7265.857421875</c:v>
                </c:pt>
                <c:pt idx="1128">
                  <c:v>7370.89453125</c:v>
                </c:pt>
                <c:pt idx="1129">
                  <c:v>7479.1806640625</c:v>
                </c:pt>
                <c:pt idx="1130">
                  <c:v>7465.44873046875</c:v>
                </c:pt>
                <c:pt idx="1131">
                  <c:v>7457.91796875</c:v>
                </c:pt>
                <c:pt idx="1132">
                  <c:v>7467.81103515625</c:v>
                </c:pt>
                <c:pt idx="1133">
                  <c:v>7465.94091796875</c:v>
                </c:pt>
                <c:pt idx="1134">
                  <c:v>7446.25244140625</c:v>
                </c:pt>
                <c:pt idx="1135">
                  <c:v>7469.53369140625</c:v>
                </c:pt>
                <c:pt idx="1136">
                  <c:v>7452.9462890625</c:v>
                </c:pt>
                <c:pt idx="1137">
                  <c:v>7468.20458984375</c:v>
                </c:pt>
                <c:pt idx="1138">
                  <c:v>7372.86328125</c:v>
                </c:pt>
                <c:pt idx="1139">
                  <c:v>7459.0498046875</c:v>
                </c:pt>
                <c:pt idx="1140">
                  <c:v>7350.1240234375</c:v>
                </c:pt>
                <c:pt idx="1141">
                  <c:v>7382.75732421875</c:v>
                </c:pt>
                <c:pt idx="1142">
                  <c:v>7351.05859375</c:v>
                </c:pt>
                <c:pt idx="1143">
                  <c:v>7378.37646484375</c:v>
                </c:pt>
                <c:pt idx="1144">
                  <c:v>7328.318359375</c:v>
                </c:pt>
                <c:pt idx="1145">
                  <c:v>7295.68505859375</c:v>
                </c:pt>
                <c:pt idx="1146">
                  <c:v>7247.990234375</c:v>
                </c:pt>
                <c:pt idx="1147">
                  <c:v>7238.3427734375</c:v>
                </c:pt>
                <c:pt idx="1148">
                  <c:v>7314.24169921875</c:v>
                </c:pt>
                <c:pt idx="1149">
                  <c:v>7370.6982421875</c:v>
                </c:pt>
                <c:pt idx="1150">
                  <c:v>7232.18994140625</c:v>
                </c:pt>
                <c:pt idx="1151">
                  <c:v>7217.3251953125</c:v>
                </c:pt>
                <c:pt idx="1152">
                  <c:v>7132.763671875</c:v>
                </c:pt>
                <c:pt idx="1153">
                  <c:v>7078.916015625</c:v>
                </c:pt>
                <c:pt idx="1154">
                  <c:v>7049.53125</c:v>
                </c:pt>
                <c:pt idx="1155">
                  <c:v>7116.81640625</c:v>
                </c:pt>
                <c:pt idx="1156">
                  <c:v>7061.49169921875</c:v>
                </c:pt>
                <c:pt idx="1157">
                  <c:v>7118.14501953125</c:v>
                </c:pt>
                <c:pt idx="1158">
                  <c:v>7084.42822265625</c:v>
                </c:pt>
                <c:pt idx="1159">
                  <c:v>7052.3857421875</c:v>
                </c:pt>
                <c:pt idx="1160">
                  <c:v>7086.20068359375</c:v>
                </c:pt>
                <c:pt idx="1161">
                  <c:v>7087.82470703125</c:v>
                </c:pt>
                <c:pt idx="1162">
                  <c:v>7161.95166015625</c:v>
                </c:pt>
                <c:pt idx="1163">
                  <c:v>7161.95166015625</c:v>
                </c:pt>
                <c:pt idx="1164">
                  <c:v>7326.9404296875</c:v>
                </c:pt>
                <c:pt idx="1165">
                  <c:v>7331.02587890625</c:v>
                </c:pt>
                <c:pt idx="1166">
                  <c:v>7376.3583984375</c:v>
                </c:pt>
                <c:pt idx="1167">
                  <c:v>7328.26953125</c:v>
                </c:pt>
                <c:pt idx="1168">
                  <c:v>7464.80859375</c:v>
                </c:pt>
                <c:pt idx="1169">
                  <c:v>7439.41064453125</c:v>
                </c:pt>
                <c:pt idx="1170">
                  <c:v>7413.17578125</c:v>
                </c:pt>
                <c:pt idx="1171">
                  <c:v>7671.291015625</c:v>
                </c:pt>
                <c:pt idx="1172">
                  <c:v>7587.91015625</c:v>
                </c:pt>
                <c:pt idx="1173">
                  <c:v>7469.63232421875</c:v>
                </c:pt>
                <c:pt idx="1174">
                  <c:v>7589.6328125</c:v>
                </c:pt>
                <c:pt idx="1175">
                  <c:v>7677.49267578125</c:v>
                </c:pt>
                <c:pt idx="1176">
                  <c:v>7701.41357421875</c:v>
                </c:pt>
                <c:pt idx="1177">
                  <c:v>7628.6162109375</c:v>
                </c:pt>
                <c:pt idx="1178">
                  <c:v>7671.291015625</c:v>
                </c:pt>
                <c:pt idx="1179">
                  <c:v>7619.65771484375</c:v>
                </c:pt>
                <c:pt idx="1180">
                  <c:v>7741.0859375</c:v>
                </c:pt>
                <c:pt idx="1181">
                  <c:v>7687.68115234375</c:v>
                </c:pt>
                <c:pt idx="1182">
                  <c:v>7767.17333984375</c:v>
                </c:pt>
                <c:pt idx="1183">
                  <c:v>7888.06005859375</c:v>
                </c:pt>
                <c:pt idx="1184">
                  <c:v>7888.06005859375</c:v>
                </c:pt>
                <c:pt idx="1185">
                  <c:v>7983.056640625</c:v>
                </c:pt>
                <c:pt idx="1186">
                  <c:v>8152.7705078125</c:v>
                </c:pt>
                <c:pt idx="1187">
                  <c:v>8465.81640625</c:v>
                </c:pt>
                <c:pt idx="1188">
                  <c:v>8759.46875</c:v>
                </c:pt>
                <c:pt idx="1189">
                  <c:v>8789.3955078125</c:v>
                </c:pt>
                <c:pt idx="1190">
                  <c:v>8747.212890625</c:v>
                </c:pt>
                <c:pt idx="1191">
                  <c:v>8828.8212890625</c:v>
                </c:pt>
                <c:pt idx="1192">
                  <c:v>8678.5498046875</c:v>
                </c:pt>
                <c:pt idx="1193">
                  <c:v>8804.505859375</c:v>
                </c:pt>
                <c:pt idx="1194">
                  <c:v>8711.1337890625</c:v>
                </c:pt>
                <c:pt idx="1195">
                  <c:v>8788.853515625</c:v>
                </c:pt>
                <c:pt idx="1196">
                  <c:v>8818.484375</c:v>
                </c:pt>
                <c:pt idx="1197">
                  <c:v>8805.6865234375</c:v>
                </c:pt>
                <c:pt idx="1198">
                  <c:v>8808.935546875</c:v>
                </c:pt>
                <c:pt idx="1199">
                  <c:v>8937.2548828125</c:v>
                </c:pt>
                <c:pt idx="1200">
                  <c:v>9118.53515625</c:v>
                </c:pt>
                <c:pt idx="1201">
                  <c:v>8845.9501953125</c:v>
                </c:pt>
                <c:pt idx="1202">
                  <c:v>8757.25</c:v>
                </c:pt>
                <c:pt idx="1203">
                  <c:v>8475.4501953125</c:v>
                </c:pt>
                <c:pt idx="1204">
                  <c:v>8715.349609375</c:v>
                </c:pt>
                <c:pt idx="1205">
                  <c:v>8874.349609375</c:v>
                </c:pt>
                <c:pt idx="1206">
                  <c:v>8774.0498046875</c:v>
                </c:pt>
                <c:pt idx="1207">
                  <c:v>8518.900390625</c:v>
                </c:pt>
                <c:pt idx="1208">
                  <c:v>8542.75</c:v>
                </c:pt>
                <c:pt idx="1209">
                  <c:v>8500</c:v>
                </c:pt>
                <c:pt idx="1210">
                  <c:v>8535.599609375</c:v>
                </c:pt>
                <c:pt idx="1211">
                  <c:v>8584.2001953125</c:v>
                </c:pt>
                <c:pt idx="1212">
                  <c:v>8517.75</c:v>
                </c:pt>
                <c:pt idx="1213">
                  <c:v>8433.25</c:v>
                </c:pt>
                <c:pt idx="1214">
                  <c:v>8318.599609375</c:v>
                </c:pt>
                <c:pt idx="1215">
                  <c:v>8379.2001953125</c:v>
                </c:pt>
                <c:pt idx="1216">
                  <c:v>8201.5498046875</c:v>
                </c:pt>
                <c:pt idx="1217">
                  <c:v>8191.35009765625</c:v>
                </c:pt>
                <c:pt idx="1218">
                  <c:v>8301.150390625</c:v>
                </c:pt>
                <c:pt idx="1219">
                  <c:v>8351.650390625</c:v>
                </c:pt>
                <c:pt idx="1220">
                  <c:v>8355</c:v>
                </c:pt>
                <c:pt idx="1221">
                  <c:v>8213</c:v>
                </c:pt>
                <c:pt idx="1222">
                  <c:v>8065</c:v>
                </c:pt>
                <c:pt idx="1223">
                  <c:v>8082.9501953125</c:v>
                </c:pt>
                <c:pt idx="1224">
                  <c:v>8030.14990234375</c:v>
                </c:pt>
                <c:pt idx="1225">
                  <c:v>8152.7001953125</c:v>
                </c:pt>
                <c:pt idx="1226">
                  <c:v>8111.5</c:v>
                </c:pt>
                <c:pt idx="1227">
                  <c:v>8174.75</c:v>
                </c:pt>
                <c:pt idx="1228">
                  <c:v>8250</c:v>
                </c:pt>
                <c:pt idx="1229">
                  <c:v>8197</c:v>
                </c:pt>
                <c:pt idx="1230">
                  <c:v>8189</c:v>
                </c:pt>
                <c:pt idx="1231">
                  <c:v>8133.39990234375</c:v>
                </c:pt>
                <c:pt idx="1232">
                  <c:v>8198.5</c:v>
                </c:pt>
                <c:pt idx="1233">
                  <c:v>8324.25</c:v>
                </c:pt>
                <c:pt idx="1234">
                  <c:v>8413.349609375</c:v>
                </c:pt>
              </c:numCache>
            </c:numRef>
          </c:val>
          <c:smooth val="0"/>
          <c:extLst>
            <c:ext xmlns:c16="http://schemas.microsoft.com/office/drawing/2014/chart" uri="{C3380CC4-5D6E-409C-BE32-E72D297353CC}">
              <c16:uniqueId val="{00000000-8516-4FB0-AF49-6F21486E83A4}"/>
            </c:ext>
          </c:extLst>
        </c:ser>
        <c:dLbls>
          <c:showLegendKey val="0"/>
          <c:showVal val="0"/>
          <c:showCatName val="0"/>
          <c:showSerName val="0"/>
          <c:showPercent val="0"/>
          <c:showBubbleSize val="0"/>
        </c:dLbls>
        <c:smooth val="0"/>
        <c:axId val="1456317375"/>
        <c:axId val="1521650735"/>
      </c:lineChart>
      <c:dateAx>
        <c:axId val="1456317375"/>
        <c:scaling>
          <c:orientation val="minMax"/>
        </c:scaling>
        <c:delete val="0"/>
        <c:axPos val="b"/>
        <c:numFmt formatCode="yyyy" sourceLinked="0"/>
        <c:majorTickMark val="out"/>
        <c:minorTickMark val="none"/>
        <c:tickLblPos val="nextTo"/>
        <c:spPr>
          <a:noFill/>
          <a:ln w="9525" cap="flat" cmpd="sng" algn="ctr">
            <a:solidFill>
              <a:schemeClr val="accent2"/>
            </a:solidFill>
            <a:round/>
          </a:ln>
          <a:effectLst/>
        </c:spPr>
        <c:txPr>
          <a:bodyPr rot="-30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1650735"/>
        <c:crosses val="autoZero"/>
        <c:auto val="1"/>
        <c:lblOffset val="100"/>
        <c:baseTimeUnit val="days"/>
      </c:dateAx>
      <c:valAx>
        <c:axId val="1521650735"/>
        <c:scaling>
          <c:orientation val="minMax"/>
          <c:max val="10000"/>
          <c:min val="4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6317375"/>
        <c:crosses val="autoZero"/>
        <c:crossBetween val="between"/>
        <c:majorUnit val="1000"/>
        <c:minorUnit val="100"/>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Forecasting!$D$8</c:f>
              <c:strCache>
                <c:ptCount val="1"/>
                <c:pt idx="0">
                  <c:v>Revenue</c:v>
                </c:pt>
              </c:strCache>
            </c:strRef>
          </c:tx>
          <c:spPr>
            <a:solidFill>
              <a:schemeClr val="accent2"/>
            </a:solidFill>
            <a:ln>
              <a:noFill/>
            </a:ln>
            <a:effectLst/>
            <a:sp3d/>
          </c:spPr>
          <c:invertIfNegative val="0"/>
          <c:dLbls>
            <c:spPr>
              <a:noFill/>
              <a:ln>
                <a:noFill/>
              </a:ln>
              <a:effectLst/>
            </c:spPr>
            <c:txPr>
              <a:bodyPr rot="0" spcFirstLastPara="1" vertOverflow="ellipsis" wrap="square" lIns="38100" tIns="91440" rIns="38100" bIns="19050" anchor="t" anchorCtr="0">
                <a:spAutoFit/>
              </a:bodyPr>
              <a:lstStyle/>
              <a:p>
                <a:pPr>
                  <a:defRPr sz="6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Forecasting!$C$15:$C$19</c:f>
              <c:numCache>
                <c:formatCode>0"E"</c:formatCode>
                <c:ptCount val="5"/>
                <c:pt idx="0">
                  <c:v>2027</c:v>
                </c:pt>
                <c:pt idx="1">
                  <c:v>2028</c:v>
                </c:pt>
                <c:pt idx="2">
                  <c:v>2029</c:v>
                </c:pt>
                <c:pt idx="3">
                  <c:v>2030</c:v>
                </c:pt>
                <c:pt idx="4">
                  <c:v>2031</c:v>
                </c:pt>
              </c:numCache>
            </c:numRef>
          </c:cat>
          <c:val>
            <c:numRef>
              <c:f>Forecasting!$D$15:$D$19</c:f>
              <c:numCache>
                <c:formatCode>#,##0.0</c:formatCode>
                <c:ptCount val="5"/>
                <c:pt idx="0">
                  <c:v>131224.28133333335</c:v>
                </c:pt>
                <c:pt idx="1">
                  <c:v>139549.79076190476</c:v>
                </c:pt>
                <c:pt idx="2">
                  <c:v>147875.30019047618</c:v>
                </c:pt>
                <c:pt idx="3">
                  <c:v>156200.80961904762</c:v>
                </c:pt>
                <c:pt idx="4">
                  <c:v>164526.31904761906</c:v>
                </c:pt>
              </c:numCache>
            </c:numRef>
          </c:val>
          <c:extLst>
            <c:ext xmlns:c16="http://schemas.microsoft.com/office/drawing/2014/chart" uri="{C3380CC4-5D6E-409C-BE32-E72D297353CC}">
              <c16:uniqueId val="{00000000-0E89-4825-ABAF-0EAE349AEE70}"/>
            </c:ext>
          </c:extLst>
        </c:ser>
        <c:dLbls>
          <c:showLegendKey val="0"/>
          <c:showVal val="1"/>
          <c:showCatName val="0"/>
          <c:showSerName val="0"/>
          <c:showPercent val="0"/>
          <c:showBubbleSize val="0"/>
        </c:dLbls>
        <c:gapWidth val="150"/>
        <c:shape val="box"/>
        <c:axId val="1449804191"/>
        <c:axId val="999102863"/>
        <c:axId val="0"/>
      </c:bar3DChart>
      <c:catAx>
        <c:axId val="1449804191"/>
        <c:scaling>
          <c:orientation val="minMax"/>
        </c:scaling>
        <c:delete val="0"/>
        <c:axPos val="b"/>
        <c:numFmt formatCode="0&quot;E&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9102863"/>
        <c:crosses val="autoZero"/>
        <c:auto val="1"/>
        <c:lblAlgn val="ctr"/>
        <c:lblOffset val="100"/>
        <c:noMultiLvlLbl val="0"/>
      </c:catAx>
      <c:valAx>
        <c:axId val="999102863"/>
        <c:scaling>
          <c:orientation val="minMax"/>
        </c:scaling>
        <c:delete val="1"/>
        <c:axPos val="l"/>
        <c:numFmt formatCode="#,##0.0" sourceLinked="1"/>
        <c:majorTickMark val="none"/>
        <c:minorTickMark val="none"/>
        <c:tickLblPos val="nextTo"/>
        <c:crossAx val="144980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Forecasting!$I$8</c:f>
              <c:strCache>
                <c:ptCount val="1"/>
                <c:pt idx="0">
                  <c:v>EBITDA</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91440" rIns="38100" bIns="19050" anchor="ctr" anchorCtr="1">
                <a:spAutoFit/>
              </a:bodyPr>
              <a:lstStyle/>
              <a:p>
                <a:pPr>
                  <a:defRPr sz="6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Forecasting!$H$15:$H$19</c:f>
              <c:numCache>
                <c:formatCode>0"E"</c:formatCode>
                <c:ptCount val="5"/>
                <c:pt idx="0">
                  <c:v>2027</c:v>
                </c:pt>
                <c:pt idx="1">
                  <c:v>2028</c:v>
                </c:pt>
                <c:pt idx="2">
                  <c:v>2029</c:v>
                </c:pt>
                <c:pt idx="3">
                  <c:v>2030</c:v>
                </c:pt>
                <c:pt idx="4">
                  <c:v>2031</c:v>
                </c:pt>
              </c:numCache>
            </c:numRef>
          </c:cat>
          <c:val>
            <c:numRef>
              <c:f>Forecasting!$I$15:$I$19</c:f>
              <c:numCache>
                <c:formatCode>#,##0.0</c:formatCode>
                <c:ptCount val="5"/>
                <c:pt idx="0">
                  <c:v>18879.787999999986</c:v>
                </c:pt>
                <c:pt idx="1">
                  <c:v>20219.710285714267</c:v>
                </c:pt>
                <c:pt idx="2">
                  <c:v>21559.632571428552</c:v>
                </c:pt>
                <c:pt idx="3">
                  <c:v>22899.554857142833</c:v>
                </c:pt>
                <c:pt idx="4">
                  <c:v>24239.477142857118</c:v>
                </c:pt>
              </c:numCache>
            </c:numRef>
          </c:val>
          <c:extLst>
            <c:ext xmlns:c16="http://schemas.microsoft.com/office/drawing/2014/chart" uri="{C3380CC4-5D6E-409C-BE32-E72D297353CC}">
              <c16:uniqueId val="{00000001-B3DA-4140-8873-E6262408EAFA}"/>
            </c:ext>
          </c:extLst>
        </c:ser>
        <c:dLbls>
          <c:showLegendKey val="0"/>
          <c:showVal val="1"/>
          <c:showCatName val="0"/>
          <c:showSerName val="0"/>
          <c:showPercent val="0"/>
          <c:showBubbleSize val="0"/>
        </c:dLbls>
        <c:gapWidth val="150"/>
        <c:shape val="box"/>
        <c:axId val="1449804191"/>
        <c:axId val="999102863"/>
        <c:axId val="0"/>
      </c:bar3DChart>
      <c:catAx>
        <c:axId val="1449804191"/>
        <c:scaling>
          <c:orientation val="minMax"/>
        </c:scaling>
        <c:delete val="0"/>
        <c:axPos val="b"/>
        <c:numFmt formatCode="0&quot;E&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9102863"/>
        <c:crosses val="autoZero"/>
        <c:auto val="1"/>
        <c:lblAlgn val="ctr"/>
        <c:lblOffset val="100"/>
        <c:noMultiLvlLbl val="0"/>
      </c:catAx>
      <c:valAx>
        <c:axId val="999102863"/>
        <c:scaling>
          <c:orientation val="minMax"/>
        </c:scaling>
        <c:delete val="1"/>
        <c:axPos val="l"/>
        <c:numFmt formatCode="#,##0.0" sourceLinked="1"/>
        <c:majorTickMark val="none"/>
        <c:minorTickMark val="none"/>
        <c:tickLblPos val="nextTo"/>
        <c:crossAx val="144980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Forecasting!$N$8</c:f>
              <c:strCache>
                <c:ptCount val="1"/>
                <c:pt idx="0">
                  <c:v>Net Profit</c:v>
                </c:pt>
              </c:strCache>
            </c:strRef>
          </c:tx>
          <c:spPr>
            <a:solidFill>
              <a:schemeClr val="accent2"/>
            </a:solidFill>
            <a:ln>
              <a:noFill/>
            </a:ln>
            <a:effectLst/>
            <a:sp3d/>
          </c:spPr>
          <c:invertIfNegative val="0"/>
          <c:dLbls>
            <c:spPr>
              <a:noFill/>
              <a:ln>
                <a:noFill/>
              </a:ln>
              <a:effectLst/>
            </c:spPr>
            <c:txPr>
              <a:bodyPr rot="0" spcFirstLastPara="1" vertOverflow="ellipsis" horzOverflow="clip" vert="horz" wrap="square" lIns="38100" tIns="91440" rIns="38100" bIns="19050" anchor="ctr" anchorCtr="1">
                <a:spAutoFit/>
              </a:bodyPr>
              <a:lstStyle/>
              <a:p>
                <a:pPr>
                  <a:defRPr sz="6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numRef>
              <c:f>Forecasting!$M$15:$M$19</c:f>
              <c:numCache>
                <c:formatCode>0"E"</c:formatCode>
                <c:ptCount val="5"/>
                <c:pt idx="0">
                  <c:v>2027</c:v>
                </c:pt>
                <c:pt idx="1">
                  <c:v>2028</c:v>
                </c:pt>
                <c:pt idx="2">
                  <c:v>2029</c:v>
                </c:pt>
                <c:pt idx="3">
                  <c:v>2030</c:v>
                </c:pt>
                <c:pt idx="4">
                  <c:v>2031</c:v>
                </c:pt>
              </c:numCache>
            </c:numRef>
          </c:cat>
          <c:val>
            <c:numRef>
              <c:f>Forecasting!$N$15:$N$19</c:f>
              <c:numCache>
                <c:formatCode>#,##0.0</c:formatCode>
                <c:ptCount val="5"/>
                <c:pt idx="0">
                  <c:v>13852.675999999989</c:v>
                </c:pt>
                <c:pt idx="1">
                  <c:v>14881.93628571427</c:v>
                </c:pt>
                <c:pt idx="2">
                  <c:v>15911.196571428554</c:v>
                </c:pt>
                <c:pt idx="3">
                  <c:v>16940.456857142835</c:v>
                </c:pt>
                <c:pt idx="4">
                  <c:v>17969.71714285712</c:v>
                </c:pt>
              </c:numCache>
            </c:numRef>
          </c:val>
          <c:extLst>
            <c:ext xmlns:c16="http://schemas.microsoft.com/office/drawing/2014/chart" uri="{C3380CC4-5D6E-409C-BE32-E72D297353CC}">
              <c16:uniqueId val="{00000000-67B6-4C69-9D16-F506F3C798D3}"/>
            </c:ext>
          </c:extLst>
        </c:ser>
        <c:dLbls>
          <c:showLegendKey val="0"/>
          <c:showVal val="1"/>
          <c:showCatName val="0"/>
          <c:showSerName val="0"/>
          <c:showPercent val="0"/>
          <c:showBubbleSize val="0"/>
        </c:dLbls>
        <c:gapWidth val="150"/>
        <c:shape val="box"/>
        <c:axId val="1449804191"/>
        <c:axId val="999102863"/>
        <c:axId val="0"/>
      </c:bar3DChart>
      <c:catAx>
        <c:axId val="1449804191"/>
        <c:scaling>
          <c:orientation val="minMax"/>
        </c:scaling>
        <c:delete val="0"/>
        <c:axPos val="b"/>
        <c:numFmt formatCode="0&quot;E&quot;"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9102863"/>
        <c:crosses val="autoZero"/>
        <c:auto val="1"/>
        <c:lblAlgn val="ctr"/>
        <c:lblOffset val="100"/>
        <c:noMultiLvlLbl val="0"/>
      </c:catAx>
      <c:valAx>
        <c:axId val="999102863"/>
        <c:scaling>
          <c:orientation val="minMax"/>
        </c:scaling>
        <c:delete val="1"/>
        <c:axPos val="l"/>
        <c:numFmt formatCode="#,##0.0" sourceLinked="1"/>
        <c:majorTickMark val="none"/>
        <c:minorTickMark val="none"/>
        <c:tickLblPos val="nextTo"/>
        <c:crossAx val="1449804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image" Target="../media/image2.jpeg"/><Relationship Id="rId4"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106680</xdr:colOff>
      <xdr:row>3</xdr:row>
      <xdr:rowOff>22860</xdr:rowOff>
    </xdr:from>
    <xdr:to>
      <xdr:col>1</xdr:col>
      <xdr:colOff>1912620</xdr:colOff>
      <xdr:row>3</xdr:row>
      <xdr:rowOff>1013684</xdr:rowOff>
    </xdr:to>
    <xdr:pic>
      <xdr:nvPicPr>
        <xdr:cNvPr id="2" name="Picture 1" descr="Hawkins Cookers Ltd Q2FY26 PAT at Rs. 31.95 crores | EquityBulls">
          <a:extLst>
            <a:ext uri="{FF2B5EF4-FFF2-40B4-BE49-F238E27FC236}">
              <a16:creationId xmlns:a16="http://schemas.microsoft.com/office/drawing/2014/main" id="{6CAE85D9-3D63-43F6-8CE4-5C06EF8187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20" y="434340"/>
          <a:ext cx="1805940" cy="9908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137160</xdr:colOff>
      <xdr:row>6</xdr:row>
      <xdr:rowOff>129540</xdr:rowOff>
    </xdr:from>
    <xdr:to>
      <xdr:col>11</xdr:col>
      <xdr:colOff>30480</xdr:colOff>
      <xdr:row>16</xdr:row>
      <xdr:rowOff>144780</xdr:rowOff>
    </xdr:to>
    <xdr:graphicFrame macro="">
      <xdr:nvGraphicFramePr>
        <xdr:cNvPr id="4" name="Chart 3">
          <a:extLst>
            <a:ext uri="{FF2B5EF4-FFF2-40B4-BE49-F238E27FC236}">
              <a16:creationId xmlns:a16="http://schemas.microsoft.com/office/drawing/2014/main" id="{093C487C-CFF6-49FE-8F3D-6369968D7F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320040</xdr:colOff>
      <xdr:row>2</xdr:row>
      <xdr:rowOff>87630</xdr:rowOff>
    </xdr:from>
    <xdr:to>
      <xdr:col>14</xdr:col>
      <xdr:colOff>15240</xdr:colOff>
      <xdr:row>17</xdr:row>
      <xdr:rowOff>87630</xdr:rowOff>
    </xdr:to>
    <xdr:graphicFrame macro="">
      <xdr:nvGraphicFramePr>
        <xdr:cNvPr id="2" name="Chart 1">
          <a:extLst>
            <a:ext uri="{FF2B5EF4-FFF2-40B4-BE49-F238E27FC236}">
              <a16:creationId xmlns:a16="http://schemas.microsoft.com/office/drawing/2014/main" id="{395A02ED-19BD-A551-81BF-D70BDA5860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563724</xdr:colOff>
      <xdr:row>1216</xdr:row>
      <xdr:rowOff>55205</xdr:rowOff>
    </xdr:from>
    <xdr:to>
      <xdr:col>17</xdr:col>
      <xdr:colOff>167173</xdr:colOff>
      <xdr:row>1230</xdr:row>
      <xdr:rowOff>185833</xdr:rowOff>
    </xdr:to>
    <xdr:graphicFrame macro="">
      <xdr:nvGraphicFramePr>
        <xdr:cNvPr id="3" name="Chart 2">
          <a:extLst>
            <a:ext uri="{FF2B5EF4-FFF2-40B4-BE49-F238E27FC236}">
              <a16:creationId xmlns:a16="http://schemas.microsoft.com/office/drawing/2014/main" id="{29ABFA8B-2FB2-F59F-B571-F499B02F9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2</xdr:row>
      <xdr:rowOff>0</xdr:rowOff>
    </xdr:from>
    <xdr:to>
      <xdr:col>25</xdr:col>
      <xdr:colOff>326572</xdr:colOff>
      <xdr:row>16</xdr:row>
      <xdr:rowOff>130629</xdr:rowOff>
    </xdr:to>
    <xdr:graphicFrame macro="">
      <xdr:nvGraphicFramePr>
        <xdr:cNvPr id="4" name="Chart 3">
          <a:extLst>
            <a:ext uri="{FF2B5EF4-FFF2-40B4-BE49-F238E27FC236}">
              <a16:creationId xmlns:a16="http://schemas.microsoft.com/office/drawing/2014/main" id="{145CFB80-7467-4DEC-82A5-9E8D8E0AC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37920</xdr:colOff>
      <xdr:row>1</xdr:row>
      <xdr:rowOff>38100</xdr:rowOff>
    </xdr:from>
    <xdr:to>
      <xdr:col>1</xdr:col>
      <xdr:colOff>953859</xdr:colOff>
      <xdr:row>3</xdr:row>
      <xdr:rowOff>167248</xdr:rowOff>
    </xdr:to>
    <xdr:pic>
      <xdr:nvPicPr>
        <xdr:cNvPr id="5" name="Picture 4" descr="Hawkins Cookers Ltd Q2FY26 PAT at Rs. 31.95 crores | EquityBulls">
          <a:extLst>
            <a:ext uri="{FF2B5EF4-FFF2-40B4-BE49-F238E27FC236}">
              <a16:creationId xmlns:a16="http://schemas.microsoft.com/office/drawing/2014/main" id="{5B0F8829-0600-4472-99A5-0D3320CE66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9920" y="92100"/>
          <a:ext cx="915939" cy="501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22346</xdr:colOff>
      <xdr:row>1</xdr:row>
      <xdr:rowOff>36425</xdr:rowOff>
    </xdr:from>
    <xdr:to>
      <xdr:col>1</xdr:col>
      <xdr:colOff>935825</xdr:colOff>
      <xdr:row>3</xdr:row>
      <xdr:rowOff>165573</xdr:rowOff>
    </xdr:to>
    <xdr:pic>
      <xdr:nvPicPr>
        <xdr:cNvPr id="2" name="Picture 1" descr="Hawkins Cookers Ltd Q2FY26 PAT at Rs. 31.95 crores | EquityBulls">
          <a:extLst>
            <a:ext uri="{FF2B5EF4-FFF2-40B4-BE49-F238E27FC236}">
              <a16:creationId xmlns:a16="http://schemas.microsoft.com/office/drawing/2014/main" id="{9FB42F9D-F2E0-3075-5548-31D1F3245A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1886" y="120245"/>
          <a:ext cx="913479" cy="5025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7620</xdr:colOff>
      <xdr:row>1</xdr:row>
      <xdr:rowOff>38100</xdr:rowOff>
    </xdr:from>
    <xdr:to>
      <xdr:col>2</xdr:col>
      <xdr:colOff>181959</xdr:colOff>
      <xdr:row>3</xdr:row>
      <xdr:rowOff>167248</xdr:rowOff>
    </xdr:to>
    <xdr:pic>
      <xdr:nvPicPr>
        <xdr:cNvPr id="3" name="Picture 2" descr="Hawkins Cookers Ltd Q2FY26 PAT at Rs. 31.95 crores | EquityBulls">
          <a:extLst>
            <a:ext uri="{FF2B5EF4-FFF2-40B4-BE49-F238E27FC236}">
              <a16:creationId xmlns:a16="http://schemas.microsoft.com/office/drawing/2014/main" id="{3B6ACDA1-5393-4A34-9E06-4E3BC2296F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 y="106680"/>
          <a:ext cx="913479" cy="5025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xdr:colOff>
      <xdr:row>22</xdr:row>
      <xdr:rowOff>3810</xdr:rowOff>
    </xdr:from>
    <xdr:to>
      <xdr:col>5</xdr:col>
      <xdr:colOff>7620</xdr:colOff>
      <xdr:row>32</xdr:row>
      <xdr:rowOff>0</xdr:rowOff>
    </xdr:to>
    <xdr:graphicFrame macro="">
      <xdr:nvGraphicFramePr>
        <xdr:cNvPr id="4" name="Chart 3">
          <a:extLst>
            <a:ext uri="{FF2B5EF4-FFF2-40B4-BE49-F238E27FC236}">
              <a16:creationId xmlns:a16="http://schemas.microsoft.com/office/drawing/2014/main" id="{BA749942-AC3F-F938-AB4B-B947B2CAC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22</xdr:row>
      <xdr:rowOff>7620</xdr:rowOff>
    </xdr:from>
    <xdr:to>
      <xdr:col>10</xdr:col>
      <xdr:colOff>0</xdr:colOff>
      <xdr:row>32</xdr:row>
      <xdr:rowOff>3810</xdr:rowOff>
    </xdr:to>
    <xdr:graphicFrame macro="">
      <xdr:nvGraphicFramePr>
        <xdr:cNvPr id="5" name="Chart 4">
          <a:extLst>
            <a:ext uri="{FF2B5EF4-FFF2-40B4-BE49-F238E27FC236}">
              <a16:creationId xmlns:a16="http://schemas.microsoft.com/office/drawing/2014/main" id="{3D95792D-5F32-47A0-900C-01FBF4BB2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22</xdr:row>
      <xdr:rowOff>0</xdr:rowOff>
    </xdr:from>
    <xdr:to>
      <xdr:col>15</xdr:col>
      <xdr:colOff>0</xdr:colOff>
      <xdr:row>31</xdr:row>
      <xdr:rowOff>179070</xdr:rowOff>
    </xdr:to>
    <xdr:graphicFrame macro="">
      <xdr:nvGraphicFramePr>
        <xdr:cNvPr id="6" name="Chart 5">
          <a:extLst>
            <a:ext uri="{FF2B5EF4-FFF2-40B4-BE49-F238E27FC236}">
              <a16:creationId xmlns:a16="http://schemas.microsoft.com/office/drawing/2014/main" id="{77A019B9-AB49-4097-B22F-70971D404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7620</xdr:colOff>
      <xdr:row>1</xdr:row>
      <xdr:rowOff>38100</xdr:rowOff>
    </xdr:from>
    <xdr:to>
      <xdr:col>1</xdr:col>
      <xdr:colOff>921099</xdr:colOff>
      <xdr:row>3</xdr:row>
      <xdr:rowOff>174868</xdr:rowOff>
    </xdr:to>
    <xdr:pic>
      <xdr:nvPicPr>
        <xdr:cNvPr id="2" name="Picture 1" descr="Hawkins Cookers Ltd Q2FY26 PAT at Rs. 31.95 crores | EquityBulls">
          <a:extLst>
            <a:ext uri="{FF2B5EF4-FFF2-40B4-BE49-F238E27FC236}">
              <a16:creationId xmlns:a16="http://schemas.microsoft.com/office/drawing/2014/main" id="{4805F09F-F28E-4CEC-AB26-95C79A84E6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 y="106680"/>
          <a:ext cx="913479" cy="5025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7620</xdr:colOff>
      <xdr:row>1</xdr:row>
      <xdr:rowOff>38100</xdr:rowOff>
    </xdr:from>
    <xdr:to>
      <xdr:col>1</xdr:col>
      <xdr:colOff>921099</xdr:colOff>
      <xdr:row>3</xdr:row>
      <xdr:rowOff>174868</xdr:rowOff>
    </xdr:to>
    <xdr:pic>
      <xdr:nvPicPr>
        <xdr:cNvPr id="2" name="Picture 1" descr="Hawkins Cookers Ltd Q2FY26 PAT at Rs. 31.95 crores | EquityBulls">
          <a:extLst>
            <a:ext uri="{FF2B5EF4-FFF2-40B4-BE49-F238E27FC236}">
              <a16:creationId xmlns:a16="http://schemas.microsoft.com/office/drawing/2014/main" id="{4F17E5D0-2348-44F7-BCCF-DBA1F5DB35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 y="106680"/>
          <a:ext cx="913479" cy="5025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7620</xdr:colOff>
      <xdr:row>1</xdr:row>
      <xdr:rowOff>38100</xdr:rowOff>
    </xdr:from>
    <xdr:to>
      <xdr:col>2</xdr:col>
      <xdr:colOff>311499</xdr:colOff>
      <xdr:row>3</xdr:row>
      <xdr:rowOff>174868</xdr:rowOff>
    </xdr:to>
    <xdr:pic>
      <xdr:nvPicPr>
        <xdr:cNvPr id="2" name="Picture 1" descr="Hawkins Cookers Ltd Q2FY26 PAT at Rs. 31.95 crores | EquityBulls">
          <a:extLst>
            <a:ext uri="{FF2B5EF4-FFF2-40B4-BE49-F238E27FC236}">
              <a16:creationId xmlns:a16="http://schemas.microsoft.com/office/drawing/2014/main" id="{FBEB89D9-2164-44BD-B973-F64C942D55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 y="106680"/>
          <a:ext cx="913479" cy="5025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7620</xdr:colOff>
      <xdr:row>1</xdr:row>
      <xdr:rowOff>38100</xdr:rowOff>
    </xdr:from>
    <xdr:to>
      <xdr:col>2</xdr:col>
      <xdr:colOff>44799</xdr:colOff>
      <xdr:row>3</xdr:row>
      <xdr:rowOff>174868</xdr:rowOff>
    </xdr:to>
    <xdr:pic>
      <xdr:nvPicPr>
        <xdr:cNvPr id="4" name="Picture 3" descr="Hawkins Cookers Ltd Q2FY26 PAT at Rs. 31.95 crores | EquityBulls">
          <a:extLst>
            <a:ext uri="{FF2B5EF4-FFF2-40B4-BE49-F238E27FC236}">
              <a16:creationId xmlns:a16="http://schemas.microsoft.com/office/drawing/2014/main" id="{A8933FE3-3603-4F06-A63C-0D76F09B9A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324" y="103952"/>
          <a:ext cx="912068" cy="5036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7620</xdr:colOff>
      <xdr:row>1</xdr:row>
      <xdr:rowOff>38100</xdr:rowOff>
    </xdr:from>
    <xdr:to>
      <xdr:col>2</xdr:col>
      <xdr:colOff>547719</xdr:colOff>
      <xdr:row>3</xdr:row>
      <xdr:rowOff>174868</xdr:rowOff>
    </xdr:to>
    <xdr:pic>
      <xdr:nvPicPr>
        <xdr:cNvPr id="2" name="Picture 1" descr="Hawkins Cookers Ltd Q2FY26 PAT at Rs. 31.95 crores | EquityBulls">
          <a:extLst>
            <a:ext uri="{FF2B5EF4-FFF2-40B4-BE49-F238E27FC236}">
              <a16:creationId xmlns:a16="http://schemas.microsoft.com/office/drawing/2014/main" id="{383F2F9D-D39D-423F-8EB2-D50EDE07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 y="106680"/>
          <a:ext cx="913479" cy="5025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7620</xdr:colOff>
      <xdr:row>1</xdr:row>
      <xdr:rowOff>38100</xdr:rowOff>
    </xdr:from>
    <xdr:to>
      <xdr:col>1</xdr:col>
      <xdr:colOff>921099</xdr:colOff>
      <xdr:row>3</xdr:row>
      <xdr:rowOff>182488</xdr:rowOff>
    </xdr:to>
    <xdr:pic>
      <xdr:nvPicPr>
        <xdr:cNvPr id="2" name="Picture 1" descr="Hawkins Cookers Ltd Q2FY26 PAT at Rs. 31.95 crores | EquityBulls">
          <a:extLst>
            <a:ext uri="{FF2B5EF4-FFF2-40B4-BE49-F238E27FC236}">
              <a16:creationId xmlns:a16="http://schemas.microsoft.com/office/drawing/2014/main" id="{BF074060-BBF5-4F10-8A97-C7FBE4E55B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 y="106680"/>
          <a:ext cx="913479" cy="510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7620</xdr:colOff>
      <xdr:row>1</xdr:row>
      <xdr:rowOff>38100</xdr:rowOff>
    </xdr:from>
    <xdr:to>
      <xdr:col>1</xdr:col>
      <xdr:colOff>921099</xdr:colOff>
      <xdr:row>3</xdr:row>
      <xdr:rowOff>182488</xdr:rowOff>
    </xdr:to>
    <xdr:pic>
      <xdr:nvPicPr>
        <xdr:cNvPr id="2" name="Picture 1" descr="Hawkins Cookers Ltd Q2FY26 PAT at Rs. 31.95 crores | EquityBulls">
          <a:extLst>
            <a:ext uri="{FF2B5EF4-FFF2-40B4-BE49-F238E27FC236}">
              <a16:creationId xmlns:a16="http://schemas.microsoft.com/office/drawing/2014/main" id="{F1C0A67E-F813-4503-AC78-F42A74315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 y="228600"/>
          <a:ext cx="913479" cy="510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7620</xdr:colOff>
      <xdr:row>1</xdr:row>
      <xdr:rowOff>38100</xdr:rowOff>
    </xdr:from>
    <xdr:to>
      <xdr:col>1</xdr:col>
      <xdr:colOff>921099</xdr:colOff>
      <xdr:row>3</xdr:row>
      <xdr:rowOff>182488</xdr:rowOff>
    </xdr:to>
    <xdr:pic>
      <xdr:nvPicPr>
        <xdr:cNvPr id="6" name="Picture 5" descr="Hawkins Cookers Ltd Q2FY26 PAT at Rs. 31.95 crores | EquityBulls">
          <a:extLst>
            <a:ext uri="{FF2B5EF4-FFF2-40B4-BE49-F238E27FC236}">
              <a16:creationId xmlns:a16="http://schemas.microsoft.com/office/drawing/2014/main" id="{510D42EE-FC16-4F26-A143-56BB002200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7160" y="91440"/>
          <a:ext cx="913479" cy="5101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pageSetUpPr fitToPage="1"/>
  </sheetPr>
  <dimension ref="A1:B17"/>
  <sheetViews>
    <sheetView showGridLines="0" zoomScale="90" workbookViewId="0">
      <selection activeCell="B21" sqref="B21"/>
    </sheetView>
  </sheetViews>
  <sheetFormatPr defaultRowHeight="14.4" x14ac:dyDescent="0.3"/>
  <cols>
    <col min="1" max="1" width="24" customWidth="1"/>
    <col min="2" max="2" width="110" customWidth="1"/>
  </cols>
  <sheetData>
    <row r="1" spans="1:2" ht="18" customHeight="1" x14ac:dyDescent="0.35">
      <c r="A1" s="221" t="s">
        <v>120</v>
      </c>
      <c r="B1" s="222"/>
    </row>
    <row r="3" spans="1:2" x14ac:dyDescent="0.3">
      <c r="A3" s="3" t="s">
        <v>121</v>
      </c>
      <c r="B3" s="3" t="s">
        <v>122</v>
      </c>
    </row>
    <row r="4" spans="1:2" x14ac:dyDescent="0.3">
      <c r="A4" s="3" t="s">
        <v>123</v>
      </c>
      <c r="B4" s="3" t="s">
        <v>124</v>
      </c>
    </row>
    <row r="5" spans="1:2" x14ac:dyDescent="0.3">
      <c r="A5" s="3" t="s">
        <v>125</v>
      </c>
      <c r="B5" s="3" t="s">
        <v>126</v>
      </c>
    </row>
    <row r="6" spans="1:2" x14ac:dyDescent="0.3">
      <c r="A6" s="3" t="s">
        <v>127</v>
      </c>
      <c r="B6" s="3" t="s">
        <v>128</v>
      </c>
    </row>
    <row r="7" spans="1:2" x14ac:dyDescent="0.3">
      <c r="A7" s="3" t="s">
        <v>129</v>
      </c>
      <c r="B7" s="3" t="s">
        <v>130</v>
      </c>
    </row>
    <row r="8" spans="1:2" x14ac:dyDescent="0.3">
      <c r="A8" s="3" t="s">
        <v>131</v>
      </c>
      <c r="B8" s="3" t="s">
        <v>132</v>
      </c>
    </row>
    <row r="9" spans="1:2" x14ac:dyDescent="0.3">
      <c r="A9" s="3" t="s">
        <v>133</v>
      </c>
      <c r="B9" s="3" t="s">
        <v>134</v>
      </c>
    </row>
    <row r="10" spans="1:2" x14ac:dyDescent="0.3">
      <c r="A10" s="3" t="s">
        <v>135</v>
      </c>
      <c r="B10" s="3" t="s">
        <v>136</v>
      </c>
    </row>
    <row r="11" spans="1:2" x14ac:dyDescent="0.3">
      <c r="A11" s="3" t="s">
        <v>137</v>
      </c>
      <c r="B11" s="3" t="s">
        <v>138</v>
      </c>
    </row>
    <row r="12" spans="1:2" ht="28.8" x14ac:dyDescent="0.3">
      <c r="A12" s="3" t="s">
        <v>139</v>
      </c>
      <c r="B12" s="3" t="s">
        <v>140</v>
      </c>
    </row>
    <row r="13" spans="1:2" x14ac:dyDescent="0.3">
      <c r="A13" s="3" t="s">
        <v>141</v>
      </c>
      <c r="B13" s="3" t="s">
        <v>142</v>
      </c>
    </row>
    <row r="16" spans="1:2" x14ac:dyDescent="0.3">
      <c r="A16" s="48" t="s">
        <v>176</v>
      </c>
      <c r="B16" s="3" t="s">
        <v>174</v>
      </c>
    </row>
    <row r="17" spans="1:2" x14ac:dyDescent="0.3">
      <c r="A17" s="49" t="s">
        <v>177</v>
      </c>
      <c r="B17" s="3" t="s">
        <v>175</v>
      </c>
    </row>
  </sheetData>
  <mergeCells count="1">
    <mergeCell ref="A1:B1"/>
  </mergeCells>
  <pageMargins left="0.75" right="0.75" top="1" bottom="1" header="0.5" footer="0.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C311F-1958-4F7F-94C5-B7B7F5A2E880}">
  <sheetPr>
    <tabColor rgb="FF92D050"/>
  </sheetPr>
  <dimension ref="B2:N44"/>
  <sheetViews>
    <sheetView showGridLines="0" tabSelected="1" workbookViewId="0">
      <selection activeCell="O7" sqref="O7"/>
    </sheetView>
  </sheetViews>
  <sheetFormatPr defaultRowHeight="14.4" x14ac:dyDescent="0.3"/>
  <cols>
    <col min="1" max="1" width="1.88671875" customWidth="1"/>
    <col min="2" max="2" width="31.77734375" customWidth="1"/>
    <col min="3" max="3" width="9" bestFit="1" customWidth="1"/>
    <col min="4" max="7" width="9.5546875" bestFit="1" customWidth="1"/>
    <col min="8" max="8" width="2.77734375" customWidth="1"/>
    <col min="9" max="9" width="8.88671875" customWidth="1"/>
    <col min="10" max="10" width="15.33203125" customWidth="1"/>
    <col min="11" max="11" width="13.44140625" customWidth="1"/>
    <col min="12" max="12" width="2.77734375" customWidth="1"/>
  </cols>
  <sheetData>
    <row r="2" spans="2:14" ht="18" x14ac:dyDescent="0.35">
      <c r="B2" s="223" t="s">
        <v>414</v>
      </c>
      <c r="C2" s="223"/>
      <c r="D2" s="223"/>
      <c r="E2" s="223"/>
      <c r="F2" s="223"/>
      <c r="G2" s="223"/>
      <c r="H2" s="223"/>
      <c r="I2" s="223"/>
      <c r="J2" s="223"/>
      <c r="K2" s="223"/>
      <c r="M2" s="241"/>
      <c r="N2" s="241"/>
    </row>
    <row r="3" spans="2:14" ht="4.8" customHeight="1" x14ac:dyDescent="0.35">
      <c r="B3" s="217"/>
      <c r="C3" s="217"/>
      <c r="D3" s="217"/>
      <c r="E3" s="217"/>
      <c r="F3" s="217"/>
      <c r="G3" s="217"/>
      <c r="H3" s="217"/>
      <c r="I3" s="217"/>
      <c r="J3" s="217"/>
      <c r="K3" s="217"/>
      <c r="M3" s="241"/>
      <c r="N3" s="241"/>
    </row>
    <row r="4" spans="2:14" ht="88.2" customHeight="1" x14ac:dyDescent="0.3">
      <c r="B4" s="66"/>
      <c r="C4" s="242" t="str">
        <f>'OPP Data'!C2</f>
        <v>Hawkins Cookers Limited Inc and formerly known as Pressure Cookers and Appliances Ltd, is an Indian company which manufactures pressure cookers and cookware. The company is based in Mumbai and has three manufacturing plants at Thane, Hoshiarpur and Jaunpur. It manufactures under brand names of Hawkins, Futura, Contura, Hevibase, Big Boy, Miss Mary and Ventura. Hawkins is one of the largest pressure cooker manufacturers in India and exports its products to more than 65 countries.</v>
      </c>
      <c r="D4" s="242"/>
      <c r="E4" s="242"/>
      <c r="F4" s="242"/>
      <c r="G4" s="242"/>
      <c r="H4" s="242"/>
      <c r="I4" s="242"/>
      <c r="J4" s="242"/>
      <c r="K4" s="242"/>
      <c r="M4" s="241"/>
      <c r="N4" s="241"/>
    </row>
    <row r="5" spans="2:14" x14ac:dyDescent="0.3">
      <c r="B5" s="219" t="s">
        <v>173</v>
      </c>
      <c r="M5" s="241"/>
      <c r="N5" s="241"/>
    </row>
    <row r="6" spans="2:14" x14ac:dyDescent="0.3">
      <c r="B6" s="87" t="s">
        <v>417</v>
      </c>
      <c r="C6" s="87">
        <v>2022</v>
      </c>
      <c r="D6" s="87">
        <v>2023</v>
      </c>
      <c r="E6" s="87">
        <v>2024</v>
      </c>
      <c r="F6" s="87">
        <v>2025</v>
      </c>
      <c r="G6" s="87">
        <v>2026</v>
      </c>
      <c r="I6" s="233" t="s">
        <v>428</v>
      </c>
      <c r="J6" s="233"/>
      <c r="K6" s="233"/>
      <c r="M6" s="241"/>
      <c r="N6" s="241"/>
    </row>
    <row r="7" spans="2:14" x14ac:dyDescent="0.3">
      <c r="M7" s="241"/>
      <c r="N7" s="241"/>
    </row>
    <row r="8" spans="2:14" x14ac:dyDescent="0.3">
      <c r="B8" t="s">
        <v>418</v>
      </c>
      <c r="C8" s="218">
        <f>HistoricalFS!D9</f>
        <v>95801.19</v>
      </c>
      <c r="D8" s="218">
        <f>HistoricalFS!E9</f>
        <v>100579.5</v>
      </c>
      <c r="E8" s="218">
        <f>HistoricalFS!F9</f>
        <v>102414.97</v>
      </c>
      <c r="F8" s="218">
        <f>HistoricalFS!G9</f>
        <v>111575.66</v>
      </c>
      <c r="G8" s="218">
        <f>HistoricalFS!H9</f>
        <v>125292.73</v>
      </c>
      <c r="M8" s="241"/>
      <c r="N8" s="241"/>
    </row>
    <row r="9" spans="2:14" x14ac:dyDescent="0.3">
      <c r="B9" s="89" t="s">
        <v>419</v>
      </c>
      <c r="C9" s="220">
        <f>HistoricalFS!D10</f>
        <v>0.24666560133170345</v>
      </c>
      <c r="D9" s="220">
        <f>HistoricalFS!E10</f>
        <v>4.9877355385669064E-2</v>
      </c>
      <c r="E9" s="220">
        <f>HistoricalFS!F10</f>
        <v>1.8248947350106182E-2</v>
      </c>
      <c r="F9" s="220">
        <f>HistoricalFS!G10</f>
        <v>8.9446786929684219E-2</v>
      </c>
      <c r="G9" s="220">
        <f>HistoricalFS!H10</f>
        <v>0.12293962679674042</v>
      </c>
      <c r="M9" s="241"/>
      <c r="N9" s="241"/>
    </row>
    <row r="10" spans="2:14" x14ac:dyDescent="0.3">
      <c r="B10" t="s">
        <v>420</v>
      </c>
      <c r="C10" s="65">
        <f>HistoricalFS!D13</f>
        <v>0.51024741968236509</v>
      </c>
      <c r="D10" s="65">
        <f>HistoricalFS!E13</f>
        <v>0.50845152342177091</v>
      </c>
      <c r="E10" s="65">
        <f>HistoricalFS!F13</f>
        <v>0.48137054573174215</v>
      </c>
      <c r="F10" s="65">
        <f>HistoricalFS!G13</f>
        <v>0.48101969551423673</v>
      </c>
      <c r="G10" s="65">
        <f>HistoricalFS!H13</f>
        <v>0.49207962824339457</v>
      </c>
      <c r="M10" s="241"/>
      <c r="N10" s="241"/>
    </row>
    <row r="11" spans="2:14" x14ac:dyDescent="0.3">
      <c r="B11" t="s">
        <v>421</v>
      </c>
      <c r="C11" s="65">
        <f>HistoricalFS!D22</f>
        <v>0.12500815490914055</v>
      </c>
      <c r="D11" s="65">
        <f>HistoricalFS!E22</f>
        <v>0.13455395980294191</v>
      </c>
      <c r="E11" s="65">
        <f>HistoricalFS!F22</f>
        <v>0.14665785675668311</v>
      </c>
      <c r="F11" s="65">
        <f>HistoricalFS!G22</f>
        <v>0.13850610428833668</v>
      </c>
      <c r="G11" s="65">
        <f>HistoricalFS!H22</f>
        <v>0.14427229736314301</v>
      </c>
      <c r="M11" s="241"/>
      <c r="N11" s="241"/>
    </row>
    <row r="12" spans="2:14" x14ac:dyDescent="0.3">
      <c r="B12" t="s">
        <v>422</v>
      </c>
      <c r="C12" s="65">
        <f>'Ratio Analysis'!D17</f>
        <v>0.11805928506733589</v>
      </c>
      <c r="D12" s="65">
        <f>'Ratio Analysis'!E17</f>
        <v>0.12687883713878073</v>
      </c>
      <c r="E12" s="65">
        <f>'Ratio Analysis'!F17</f>
        <v>0.13817872523909347</v>
      </c>
      <c r="F12" s="65">
        <f>'Ratio Analysis'!G17</f>
        <v>0.12928222875849443</v>
      </c>
      <c r="G12" s="65">
        <f>'Ratio Analysis'!H17</f>
        <v>0.13342082976402533</v>
      </c>
      <c r="M12" s="241"/>
      <c r="N12" s="241"/>
    </row>
    <row r="13" spans="2:14" x14ac:dyDescent="0.3">
      <c r="B13" t="s">
        <v>423</v>
      </c>
      <c r="C13" s="65">
        <f>HistoricalFS!D40</f>
        <v>8.7562795409952709E-2</v>
      </c>
      <c r="D13" s="65">
        <f>HistoricalFS!E40</f>
        <v>9.4231130598183471E-2</v>
      </c>
      <c r="E13" s="65">
        <f>HistoricalFS!F40</f>
        <v>0.10724584501660255</v>
      </c>
      <c r="F13" s="65">
        <f>HistoricalFS!G40</f>
        <v>0.10279365589233347</v>
      </c>
      <c r="G13" s="65">
        <f>HistoricalFS!H40</f>
        <v>0.10470543662030501</v>
      </c>
      <c r="M13" s="241"/>
      <c r="N13" s="241"/>
    </row>
    <row r="14" spans="2:14" x14ac:dyDescent="0.3">
      <c r="B14" t="s">
        <v>426</v>
      </c>
      <c r="C14" s="23">
        <f>HistoricalFS!D44</f>
        <v>158.640572712926</v>
      </c>
      <c r="D14" s="23">
        <f>HistoricalFS!E44</f>
        <v>179.2369816266264</v>
      </c>
      <c r="E14" s="23">
        <f>HistoricalFS!F44</f>
        <v>207.71490681878998</v>
      </c>
      <c r="F14" s="23">
        <f>HistoricalFS!G44</f>
        <v>216.89998610011881</v>
      </c>
      <c r="G14" s="23">
        <f>HistoricalFS!H44</f>
        <v>248.09547989103231</v>
      </c>
      <c r="M14" s="241"/>
      <c r="N14" s="241"/>
    </row>
    <row r="15" spans="2:14" x14ac:dyDescent="0.3">
      <c r="B15" t="s">
        <v>424</v>
      </c>
      <c r="C15" s="65">
        <f>HistoricalFS!D45</f>
        <v>4.0310929278223329E-2</v>
      </c>
      <c r="D15" s="65">
        <f>HistoricalFS!E45</f>
        <v>0.12983065152551743</v>
      </c>
      <c r="E15" s="65">
        <f>HistoricalFS!F45</f>
        <v>0.15888420421789262</v>
      </c>
      <c r="F15" s="65">
        <f>HistoricalFS!G45</f>
        <v>4.4219644232572408E-2</v>
      </c>
      <c r="G15" s="65">
        <f>HistoricalFS!H45</f>
        <v>0.14382432360559938</v>
      </c>
      <c r="M15" s="241"/>
      <c r="N15" s="241"/>
    </row>
    <row r="16" spans="2:14" x14ac:dyDescent="0.3">
      <c r="B16" t="s">
        <v>425</v>
      </c>
      <c r="C16" s="23">
        <f>HistoricalFS!D47</f>
        <v>90.350551220116429</v>
      </c>
      <c r="D16" s="23">
        <f>HistoricalFS!E47</f>
        <v>60.679127390046737</v>
      </c>
      <c r="E16" s="23">
        <f>HistoricalFS!F47</f>
        <v>100.68487645653261</v>
      </c>
      <c r="F16" s="23">
        <f>HistoricalFS!G47</f>
        <v>120.22546174554141</v>
      </c>
      <c r="G16" s="23">
        <f>HistoricalFS!H47</f>
        <v>130.00000945570147</v>
      </c>
      <c r="M16" s="241"/>
      <c r="N16" s="241"/>
    </row>
    <row r="17" spans="2:14" x14ac:dyDescent="0.3">
      <c r="B17" t="s">
        <v>427</v>
      </c>
      <c r="C17" s="65">
        <f>(HistoricalFS!D47/HistoricalFS!C47)-1</f>
        <v>0.12624085053217171</v>
      </c>
      <c r="D17" s="65">
        <f>(HistoricalFS!E47/HistoricalFS!D47)-1</f>
        <v>-0.32840335149458821</v>
      </c>
      <c r="E17" s="65">
        <f>(HistoricalFS!F47/HistoricalFS!E47)-1</f>
        <v>0.65930000623324814</v>
      </c>
      <c r="F17" s="65">
        <f>(HistoricalFS!G47/HistoricalFS!F47)-1</f>
        <v>0.19407666748684749</v>
      </c>
      <c r="G17" s="65">
        <f>(HistoricalFS!H47/HistoricalFS!G47)-1</f>
        <v>8.1301810517043549E-2</v>
      </c>
      <c r="M17" s="241"/>
      <c r="N17" s="241"/>
    </row>
    <row r="18" spans="2:14" x14ac:dyDescent="0.3">
      <c r="M18" s="241"/>
      <c r="N18" s="241"/>
    </row>
    <row r="19" spans="2:14" x14ac:dyDescent="0.3">
      <c r="B19" s="87" t="s">
        <v>429</v>
      </c>
      <c r="C19" s="87">
        <v>2022</v>
      </c>
      <c r="D19" s="87">
        <v>2023</v>
      </c>
      <c r="E19" s="87">
        <v>2024</v>
      </c>
      <c r="F19" s="87">
        <v>2025</v>
      </c>
      <c r="G19" s="87">
        <v>2026</v>
      </c>
      <c r="M19" s="241"/>
      <c r="N19" s="241"/>
    </row>
    <row r="20" spans="2:14" x14ac:dyDescent="0.3">
      <c r="M20" s="241"/>
      <c r="N20" s="241"/>
    </row>
    <row r="21" spans="2:14" x14ac:dyDescent="0.3">
      <c r="B21" t="s">
        <v>430</v>
      </c>
      <c r="M21" s="241"/>
      <c r="N21" s="241"/>
    </row>
    <row r="22" spans="2:14" x14ac:dyDescent="0.3">
      <c r="B22" t="s">
        <v>389</v>
      </c>
      <c r="M22" s="241"/>
      <c r="N22" s="241"/>
    </row>
    <row r="23" spans="2:14" x14ac:dyDescent="0.3">
      <c r="B23" t="s">
        <v>390</v>
      </c>
      <c r="M23" s="241"/>
      <c r="N23" s="241"/>
    </row>
    <row r="24" spans="2:14" x14ac:dyDescent="0.3">
      <c r="B24" t="s">
        <v>431</v>
      </c>
      <c r="M24" s="241"/>
      <c r="N24" s="241"/>
    </row>
    <row r="25" spans="2:14" x14ac:dyDescent="0.3">
      <c r="B25" t="s">
        <v>432</v>
      </c>
      <c r="C25" s="65">
        <f>'Ratio Analysis'!D27</f>
        <v>0.39349975935806342</v>
      </c>
      <c r="D25" s="65">
        <f>'Ratio Analysis'!E27</f>
        <v>0.34323361108867784</v>
      </c>
      <c r="E25" s="65">
        <f>'Ratio Analysis'!F27</f>
        <v>0.32936228297811987</v>
      </c>
      <c r="F25" s="65">
        <f>'Ratio Analysis'!G27</f>
        <v>0.29926730942347574</v>
      </c>
      <c r="G25" s="65">
        <f>'Ratio Analysis'!H27</f>
        <v>0.29464235380943404</v>
      </c>
      <c r="M25" s="241"/>
      <c r="N25" s="241"/>
    </row>
    <row r="26" spans="2:14" x14ac:dyDescent="0.3">
      <c r="B26" t="s">
        <v>433</v>
      </c>
      <c r="C26" s="65">
        <f>'Ratio Analysis'!D25</f>
        <v>0.48056117729276021</v>
      </c>
      <c r="D26" s="65">
        <f>'Ratio Analysis'!E25</f>
        <v>0.44382341113333268</v>
      </c>
      <c r="E26" s="65">
        <f>'Ratio Analysis'!F25</f>
        <v>0.43838235302594747</v>
      </c>
      <c r="F26" s="65">
        <f>'Ratio Analysis'!G25</f>
        <v>0.39493441168261784</v>
      </c>
      <c r="G26" s="65">
        <f>'Ratio Analysis'!H25</f>
        <v>0.38685905509595886</v>
      </c>
      <c r="M26" s="241"/>
      <c r="N26" s="241"/>
    </row>
    <row r="27" spans="2:14" x14ac:dyDescent="0.3">
      <c r="M27" s="241"/>
      <c r="N27" s="241"/>
    </row>
    <row r="28" spans="2:14" x14ac:dyDescent="0.3">
      <c r="M28" s="241"/>
      <c r="N28" s="241"/>
    </row>
    <row r="29" spans="2:14" x14ac:dyDescent="0.3">
      <c r="M29" s="241"/>
      <c r="N29" s="241"/>
    </row>
    <row r="30" spans="2:14" x14ac:dyDescent="0.3">
      <c r="M30" s="241"/>
      <c r="N30" s="241"/>
    </row>
    <row r="31" spans="2:14" x14ac:dyDescent="0.3">
      <c r="M31" s="241"/>
      <c r="N31" s="241"/>
    </row>
    <row r="32" spans="2:14" x14ac:dyDescent="0.3">
      <c r="M32" s="241"/>
      <c r="N32" s="241"/>
    </row>
    <row r="33" spans="13:14" x14ac:dyDescent="0.3">
      <c r="M33" s="241"/>
      <c r="N33" s="241"/>
    </row>
    <row r="34" spans="13:14" x14ac:dyDescent="0.3">
      <c r="M34" s="241"/>
      <c r="N34" s="241"/>
    </row>
    <row r="35" spans="13:14" x14ac:dyDescent="0.3">
      <c r="M35" s="241"/>
      <c r="N35" s="241"/>
    </row>
    <row r="36" spans="13:14" x14ac:dyDescent="0.3">
      <c r="M36" s="241"/>
      <c r="N36" s="241"/>
    </row>
    <row r="37" spans="13:14" x14ac:dyDescent="0.3">
      <c r="M37" s="241"/>
      <c r="N37" s="241"/>
    </row>
    <row r="38" spans="13:14" x14ac:dyDescent="0.3">
      <c r="M38" s="241"/>
      <c r="N38" s="241"/>
    </row>
    <row r="39" spans="13:14" x14ac:dyDescent="0.3">
      <c r="M39" s="241"/>
      <c r="N39" s="241"/>
    </row>
    <row r="40" spans="13:14" x14ac:dyDescent="0.3">
      <c r="M40" s="241"/>
      <c r="N40" s="241"/>
    </row>
    <row r="41" spans="13:14" x14ac:dyDescent="0.3">
      <c r="M41" s="241"/>
      <c r="N41" s="241"/>
    </row>
    <row r="42" spans="13:14" x14ac:dyDescent="0.3">
      <c r="M42" s="241"/>
      <c r="N42" s="241"/>
    </row>
    <row r="43" spans="13:14" x14ac:dyDescent="0.3">
      <c r="M43" s="241"/>
      <c r="N43" s="241"/>
    </row>
    <row r="44" spans="13:14" x14ac:dyDescent="0.3">
      <c r="M44" s="241"/>
      <c r="N44" s="241"/>
    </row>
  </sheetData>
  <mergeCells count="3">
    <mergeCell ref="B2:K2"/>
    <mergeCell ref="C4:K4"/>
    <mergeCell ref="I6:K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77898-4F3B-4DE2-B982-E9A1AD370C72}">
  <sheetPr>
    <tabColor rgb="FF92D050"/>
  </sheetPr>
  <dimension ref="B2:Q1238"/>
  <sheetViews>
    <sheetView showGridLines="0" topLeftCell="D1" zoomScale="98" zoomScaleNormal="98" workbookViewId="0">
      <selection activeCell="S2" sqref="S2"/>
    </sheetView>
  </sheetViews>
  <sheetFormatPr defaultRowHeight="14.4" x14ac:dyDescent="0.3"/>
  <cols>
    <col min="2" max="2" width="35.77734375" customWidth="1"/>
    <col min="3" max="3" width="70.109375" customWidth="1"/>
    <col min="5" max="5" width="10.33203125" bestFit="1" customWidth="1"/>
    <col min="16" max="16" width="10.5546875" bestFit="1" customWidth="1"/>
  </cols>
  <sheetData>
    <row r="2" spans="2:17" ht="93" x14ac:dyDescent="0.3">
      <c r="B2" t="s">
        <v>415</v>
      </c>
      <c r="C2" s="216" t="s">
        <v>416</v>
      </c>
    </row>
    <row r="3" spans="2:17" x14ac:dyDescent="0.3">
      <c r="E3" s="239" t="s">
        <v>274</v>
      </c>
      <c r="F3" s="239" t="s">
        <v>275</v>
      </c>
      <c r="P3" s="239" t="s">
        <v>274</v>
      </c>
      <c r="Q3" s="239" t="s">
        <v>275</v>
      </c>
    </row>
    <row r="4" spans="2:17" x14ac:dyDescent="0.3">
      <c r="E4" s="240">
        <v>46135</v>
      </c>
      <c r="F4">
        <v>7452.94677734375</v>
      </c>
      <c r="P4" s="240">
        <v>44446</v>
      </c>
      <c r="Q4">
        <v>5762.70751953125</v>
      </c>
    </row>
    <row r="5" spans="2:17" x14ac:dyDescent="0.3">
      <c r="E5" s="240">
        <v>46136</v>
      </c>
      <c r="F5">
        <v>7357.822265625</v>
      </c>
      <c r="P5" s="240">
        <v>44447</v>
      </c>
      <c r="Q5">
        <v>5746.42041015625</v>
      </c>
    </row>
    <row r="6" spans="2:17" x14ac:dyDescent="0.3">
      <c r="E6" s="240">
        <v>46139</v>
      </c>
      <c r="F6">
        <v>7381.1728515625</v>
      </c>
      <c r="P6" s="240">
        <v>44448</v>
      </c>
      <c r="Q6">
        <v>5784.267578125</v>
      </c>
    </row>
    <row r="7" spans="2:17" x14ac:dyDescent="0.3">
      <c r="E7" s="240">
        <v>46140</v>
      </c>
      <c r="F7">
        <v>7362.66552734375</v>
      </c>
      <c r="P7" s="240">
        <v>44452</v>
      </c>
      <c r="Q7">
        <v>5809.46875</v>
      </c>
    </row>
    <row r="8" spans="2:17" x14ac:dyDescent="0.3">
      <c r="E8" s="240">
        <v>46141</v>
      </c>
      <c r="F8">
        <v>7357.7138671875</v>
      </c>
      <c r="P8" s="240">
        <v>44453</v>
      </c>
      <c r="Q8">
        <v>5792.1552734375</v>
      </c>
    </row>
    <row r="9" spans="2:17" x14ac:dyDescent="0.3">
      <c r="E9" s="240">
        <v>46142</v>
      </c>
      <c r="F9">
        <v>7343.7841796875</v>
      </c>
      <c r="P9" s="240">
        <v>44454</v>
      </c>
      <c r="Q9">
        <v>5854.0830078125</v>
      </c>
    </row>
    <row r="10" spans="2:17" x14ac:dyDescent="0.3">
      <c r="E10" s="240">
        <v>46146</v>
      </c>
      <c r="F10">
        <v>7293.5693359375</v>
      </c>
      <c r="P10" s="240">
        <v>44455</v>
      </c>
      <c r="Q10">
        <v>5844.65625</v>
      </c>
    </row>
    <row r="11" spans="2:17" x14ac:dyDescent="0.3">
      <c r="E11" s="240">
        <v>46147</v>
      </c>
      <c r="F11">
        <v>7247.30126953125</v>
      </c>
      <c r="P11" s="240">
        <v>44456</v>
      </c>
      <c r="Q11">
        <v>5787.7216796875</v>
      </c>
    </row>
    <row r="12" spans="2:17" x14ac:dyDescent="0.3">
      <c r="E12" s="240">
        <v>46148</v>
      </c>
      <c r="F12">
        <v>7241.39501953125</v>
      </c>
      <c r="P12" s="240">
        <v>44459</v>
      </c>
      <c r="Q12">
        <v>5775.681640625</v>
      </c>
    </row>
    <row r="13" spans="2:17" x14ac:dyDescent="0.3">
      <c r="E13" s="240">
        <v>46149</v>
      </c>
      <c r="F13">
        <v>7301.4443359375</v>
      </c>
      <c r="P13" s="240">
        <v>44460</v>
      </c>
      <c r="Q13">
        <v>5800.36865234375</v>
      </c>
    </row>
    <row r="14" spans="2:17" x14ac:dyDescent="0.3">
      <c r="E14" s="240">
        <v>46150</v>
      </c>
      <c r="F14">
        <v>7377.73681640625</v>
      </c>
      <c r="P14" s="240">
        <v>44461</v>
      </c>
      <c r="Q14">
        <v>5773.30078125</v>
      </c>
    </row>
    <row r="15" spans="2:17" x14ac:dyDescent="0.3">
      <c r="E15" s="240">
        <v>46153</v>
      </c>
      <c r="F15">
        <v>7230.56640625</v>
      </c>
      <c r="P15" s="240">
        <v>44462</v>
      </c>
      <c r="Q15">
        <v>5790.47509765625</v>
      </c>
    </row>
    <row r="16" spans="2:17" x14ac:dyDescent="0.3">
      <c r="E16" s="240">
        <v>46154</v>
      </c>
      <c r="F16">
        <v>7181.34521484375</v>
      </c>
      <c r="P16" s="240">
        <v>44463</v>
      </c>
      <c r="Q16">
        <v>5791.31494140625</v>
      </c>
    </row>
    <row r="17" spans="5:17" x14ac:dyDescent="0.3">
      <c r="E17" s="240">
        <v>46155</v>
      </c>
      <c r="F17">
        <v>7122.77197265625</v>
      </c>
      <c r="P17" s="240">
        <v>44466</v>
      </c>
      <c r="Q17">
        <v>5786.3681640625</v>
      </c>
    </row>
    <row r="18" spans="5:17" x14ac:dyDescent="0.3">
      <c r="E18" s="240">
        <v>46156</v>
      </c>
      <c r="F18">
        <v>7072.56689453125</v>
      </c>
      <c r="P18" s="240">
        <v>44467</v>
      </c>
      <c r="Q18">
        <v>5783.84814453125</v>
      </c>
    </row>
    <row r="19" spans="5:17" x14ac:dyDescent="0.3">
      <c r="E19" s="240">
        <v>46157</v>
      </c>
      <c r="F19">
        <v>7058.29248046875</v>
      </c>
      <c r="P19" s="240">
        <v>44468</v>
      </c>
      <c r="Q19">
        <v>5810.822265625</v>
      </c>
    </row>
    <row r="20" spans="5:17" x14ac:dyDescent="0.3">
      <c r="E20" s="240">
        <v>46160</v>
      </c>
      <c r="F20">
        <v>7136.55419921875</v>
      </c>
      <c r="P20" s="240">
        <v>44469</v>
      </c>
      <c r="Q20">
        <v>5790.33447265625</v>
      </c>
    </row>
    <row r="21" spans="5:17" x14ac:dyDescent="0.3">
      <c r="E21" s="240">
        <v>46161</v>
      </c>
      <c r="F21">
        <v>7058.78466796875</v>
      </c>
      <c r="P21" s="240">
        <v>44470</v>
      </c>
      <c r="Q21">
        <v>5740.8203125</v>
      </c>
    </row>
    <row r="22" spans="5:17" x14ac:dyDescent="0.3">
      <c r="E22" s="240">
        <v>46162</v>
      </c>
      <c r="F22">
        <v>7093.73193359375</v>
      </c>
      <c r="P22" s="240">
        <v>44473</v>
      </c>
      <c r="Q22">
        <v>5765.46044921875</v>
      </c>
    </row>
    <row r="23" spans="5:17" x14ac:dyDescent="0.3">
      <c r="E23" s="240">
        <v>46163</v>
      </c>
      <c r="F23">
        <v>7059.76953125</v>
      </c>
      <c r="P23" s="240">
        <v>44474</v>
      </c>
      <c r="Q23">
        <v>5744.46044921875</v>
      </c>
    </row>
    <row r="24" spans="5:17" x14ac:dyDescent="0.3">
      <c r="E24" s="240">
        <v>46164</v>
      </c>
      <c r="F24">
        <v>7088.3173828125</v>
      </c>
      <c r="P24" s="240">
        <v>44475</v>
      </c>
      <c r="Q24">
        <v>5742.8271484375</v>
      </c>
    </row>
    <row r="25" spans="5:17" x14ac:dyDescent="0.3">
      <c r="E25" s="240">
        <v>46167</v>
      </c>
      <c r="F25">
        <v>7079.94970703125</v>
      </c>
      <c r="P25" s="240">
        <v>44476</v>
      </c>
      <c r="Q25">
        <v>5720.8466796875</v>
      </c>
    </row>
    <row r="26" spans="5:17" x14ac:dyDescent="0.3">
      <c r="E26" s="240">
        <v>46168</v>
      </c>
      <c r="F26">
        <v>7080.9345703125</v>
      </c>
      <c r="P26" s="240">
        <v>44477</v>
      </c>
      <c r="Q26">
        <v>5793.4619140625</v>
      </c>
    </row>
    <row r="27" spans="5:17" x14ac:dyDescent="0.3">
      <c r="E27" s="240">
        <v>46169</v>
      </c>
      <c r="F27">
        <v>7225.15185546875</v>
      </c>
      <c r="P27" s="240">
        <v>44480</v>
      </c>
      <c r="Q27">
        <v>5751.833984375</v>
      </c>
    </row>
    <row r="28" spans="5:17" x14ac:dyDescent="0.3">
      <c r="E28" s="240">
        <v>46170</v>
      </c>
      <c r="F28">
        <v>7225.15185546875</v>
      </c>
      <c r="P28" s="240">
        <v>44481</v>
      </c>
      <c r="Q28">
        <v>5746.18701171875</v>
      </c>
    </row>
    <row r="29" spans="5:17" x14ac:dyDescent="0.3">
      <c r="E29" s="240">
        <v>46171</v>
      </c>
      <c r="F29">
        <v>7366.416015625</v>
      </c>
      <c r="P29" s="240">
        <v>44482</v>
      </c>
      <c r="Q29">
        <v>5734.7998046875</v>
      </c>
    </row>
    <row r="30" spans="5:17" x14ac:dyDescent="0.3">
      <c r="E30" s="240">
        <v>46174</v>
      </c>
      <c r="F30">
        <v>7376.75244140625</v>
      </c>
      <c r="P30" s="240">
        <v>44483</v>
      </c>
      <c r="Q30">
        <v>5833.50244140625</v>
      </c>
    </row>
    <row r="31" spans="5:17" x14ac:dyDescent="0.3">
      <c r="E31" s="240">
        <v>46175</v>
      </c>
      <c r="F31">
        <v>7341.8056640625</v>
      </c>
      <c r="P31" s="240">
        <v>44487</v>
      </c>
      <c r="Q31">
        <v>5906.91064453125</v>
      </c>
    </row>
    <row r="32" spans="5:17" x14ac:dyDescent="0.3">
      <c r="E32" s="240">
        <v>46176</v>
      </c>
      <c r="F32">
        <v>7337.8681640625</v>
      </c>
      <c r="P32" s="240">
        <v>44488</v>
      </c>
      <c r="Q32">
        <v>5908.078125</v>
      </c>
    </row>
    <row r="33" spans="5:17" x14ac:dyDescent="0.3">
      <c r="E33" s="240">
        <v>46177</v>
      </c>
      <c r="F33">
        <v>7494.8828125</v>
      </c>
      <c r="P33" s="240">
        <v>44489</v>
      </c>
      <c r="Q33">
        <v>6014.71337890625</v>
      </c>
    </row>
    <row r="34" spans="5:17" x14ac:dyDescent="0.3">
      <c r="E34" s="240">
        <v>46178</v>
      </c>
      <c r="F34">
        <v>7473.2255859375</v>
      </c>
      <c r="P34" s="240">
        <v>44490</v>
      </c>
      <c r="Q34">
        <v>6001.505859375</v>
      </c>
    </row>
    <row r="35" spans="5:17" x14ac:dyDescent="0.3">
      <c r="E35" s="240">
        <v>46181</v>
      </c>
      <c r="F35">
        <v>7466.8271484375</v>
      </c>
      <c r="P35" s="240">
        <v>44491</v>
      </c>
      <c r="Q35">
        <v>5924.92431640625</v>
      </c>
    </row>
    <row r="36" spans="5:17" x14ac:dyDescent="0.3">
      <c r="E36" s="240">
        <v>46182</v>
      </c>
      <c r="F36">
        <v>7621.380859375</v>
      </c>
      <c r="P36" s="240">
        <v>44494</v>
      </c>
      <c r="Q36">
        <v>5754.30712890625</v>
      </c>
    </row>
    <row r="37" spans="5:17" x14ac:dyDescent="0.3">
      <c r="E37" s="240">
        <v>46183</v>
      </c>
      <c r="F37">
        <v>7588.40283203125</v>
      </c>
      <c r="P37" s="240">
        <v>44495</v>
      </c>
      <c r="Q37">
        <v>5742.26708984375</v>
      </c>
    </row>
    <row r="38" spans="5:17" x14ac:dyDescent="0.3">
      <c r="E38" s="240">
        <v>46184</v>
      </c>
      <c r="F38">
        <v>7539.18212890625</v>
      </c>
      <c r="P38" s="240">
        <v>44496</v>
      </c>
      <c r="Q38">
        <v>5878.72314453125</v>
      </c>
    </row>
    <row r="39" spans="5:17" x14ac:dyDescent="0.3">
      <c r="E39" s="240">
        <v>46185</v>
      </c>
      <c r="F39">
        <v>7564.77685546875</v>
      </c>
      <c r="P39" s="240">
        <v>44497</v>
      </c>
      <c r="Q39">
        <v>5957.6376953125</v>
      </c>
    </row>
    <row r="40" spans="5:17" x14ac:dyDescent="0.3">
      <c r="E40" s="240">
        <v>46188</v>
      </c>
      <c r="F40">
        <v>7675.03173828125</v>
      </c>
      <c r="P40" s="240">
        <v>44498</v>
      </c>
      <c r="Q40">
        <v>5888.896484375</v>
      </c>
    </row>
    <row r="41" spans="5:17" x14ac:dyDescent="0.3">
      <c r="E41" s="240">
        <v>46189</v>
      </c>
      <c r="F41">
        <v>7700.626953125</v>
      </c>
      <c r="P41" s="240">
        <v>44501</v>
      </c>
      <c r="Q41">
        <v>5851.4228515625</v>
      </c>
    </row>
    <row r="42" spans="5:17" x14ac:dyDescent="0.3">
      <c r="E42" s="240">
        <v>46190</v>
      </c>
      <c r="F42">
        <v>7666.17236328125</v>
      </c>
      <c r="P42" s="240">
        <v>44502</v>
      </c>
      <c r="Q42">
        <v>5889.923828125</v>
      </c>
    </row>
    <row r="43" spans="5:17" x14ac:dyDescent="0.3">
      <c r="E43" s="240">
        <v>46191</v>
      </c>
      <c r="F43">
        <v>7676.01611328125</v>
      </c>
      <c r="P43" s="240">
        <v>44503</v>
      </c>
      <c r="Q43">
        <v>5876.34326171875</v>
      </c>
    </row>
    <row r="44" spans="5:17" x14ac:dyDescent="0.3">
      <c r="E44" s="240">
        <v>46192</v>
      </c>
      <c r="F44">
        <v>7641.0693359375</v>
      </c>
      <c r="P44" s="240">
        <v>44504</v>
      </c>
      <c r="Q44">
        <v>5913.49072265625</v>
      </c>
    </row>
    <row r="45" spans="5:17" x14ac:dyDescent="0.3">
      <c r="E45" s="240">
        <v>46195</v>
      </c>
      <c r="F45">
        <v>7769.0439453125</v>
      </c>
      <c r="P45" s="240">
        <v>44508</v>
      </c>
      <c r="Q45">
        <v>6030.39306640625</v>
      </c>
    </row>
    <row r="46" spans="5:17" x14ac:dyDescent="0.3">
      <c r="E46" s="240">
        <v>46196</v>
      </c>
      <c r="F46">
        <v>7693.24365234375</v>
      </c>
      <c r="P46" s="240">
        <v>44509</v>
      </c>
      <c r="Q46">
        <v>5986.8525390625</v>
      </c>
    </row>
    <row r="47" spans="5:17" x14ac:dyDescent="0.3">
      <c r="E47" s="240">
        <v>46197</v>
      </c>
      <c r="F47">
        <v>7767.0751953125</v>
      </c>
      <c r="P47" s="240">
        <v>44510</v>
      </c>
      <c r="Q47">
        <v>5721.126953125</v>
      </c>
    </row>
    <row r="48" spans="5:17" x14ac:dyDescent="0.3">
      <c r="E48" s="240">
        <v>46198</v>
      </c>
      <c r="F48">
        <v>7888.15869140625</v>
      </c>
      <c r="P48" s="240">
        <v>44511</v>
      </c>
      <c r="Q48">
        <v>5626.625</v>
      </c>
    </row>
    <row r="49" spans="5:17" x14ac:dyDescent="0.3">
      <c r="E49" s="240">
        <v>46199</v>
      </c>
      <c r="F49">
        <v>7888.15869140625</v>
      </c>
      <c r="P49" s="240">
        <v>44512</v>
      </c>
      <c r="Q49">
        <v>5696.6259765625</v>
      </c>
    </row>
    <row r="50" spans="5:17" x14ac:dyDescent="0.3">
      <c r="E50" s="240">
        <v>46202</v>
      </c>
      <c r="F50">
        <v>8029.42333984375</v>
      </c>
      <c r="P50" s="240">
        <v>44515</v>
      </c>
      <c r="Q50">
        <v>5769.42724609375</v>
      </c>
    </row>
    <row r="51" spans="5:17" x14ac:dyDescent="0.3">
      <c r="E51" s="240">
        <v>46203</v>
      </c>
      <c r="F51">
        <v>8156.90576171875</v>
      </c>
      <c r="P51" s="240">
        <v>44516</v>
      </c>
      <c r="Q51">
        <v>5785.52783203125</v>
      </c>
    </row>
    <row r="52" spans="5:17" x14ac:dyDescent="0.3">
      <c r="E52" s="240">
        <v>46204</v>
      </c>
      <c r="F52">
        <v>8460.599609375</v>
      </c>
      <c r="P52" s="240">
        <v>44517</v>
      </c>
      <c r="Q52">
        <v>5894.9638671875</v>
      </c>
    </row>
    <row r="53" spans="5:17" x14ac:dyDescent="0.3">
      <c r="E53" s="240">
        <v>46205</v>
      </c>
      <c r="F53">
        <v>8770.19921875</v>
      </c>
      <c r="P53" s="240">
        <v>44518</v>
      </c>
      <c r="Q53">
        <v>5875.5966796875</v>
      </c>
    </row>
    <row r="54" spans="5:17" x14ac:dyDescent="0.3">
      <c r="E54" s="240">
        <v>46206</v>
      </c>
      <c r="F54">
        <v>8798.2548828125</v>
      </c>
      <c r="P54" s="240">
        <v>44522</v>
      </c>
      <c r="Q54">
        <v>5878.1171875</v>
      </c>
    </row>
    <row r="55" spans="5:17" x14ac:dyDescent="0.3">
      <c r="E55" s="240">
        <v>46209</v>
      </c>
      <c r="F55">
        <v>8723.931640625</v>
      </c>
      <c r="P55" s="240">
        <v>44523</v>
      </c>
      <c r="Q55">
        <v>5949.09814453125</v>
      </c>
    </row>
    <row r="56" spans="5:17" x14ac:dyDescent="0.3">
      <c r="E56" s="240">
        <v>46210</v>
      </c>
      <c r="F56">
        <v>8827.2958984375</v>
      </c>
      <c r="P56" s="240">
        <v>44524</v>
      </c>
      <c r="Q56">
        <v>5961.931640625</v>
      </c>
    </row>
    <row r="57" spans="5:17" x14ac:dyDescent="0.3">
      <c r="E57" s="240">
        <v>46211</v>
      </c>
      <c r="F57">
        <v>8661.9130859375</v>
      </c>
      <c r="P57" s="240">
        <v>44525</v>
      </c>
      <c r="Q57">
        <v>5885.53662109375</v>
      </c>
    </row>
    <row r="58" spans="5:17" x14ac:dyDescent="0.3">
      <c r="E58" s="240">
        <v>46212</v>
      </c>
      <c r="F58">
        <v>8824.3427734375</v>
      </c>
      <c r="P58" s="240">
        <v>44526</v>
      </c>
      <c r="Q58">
        <v>5878.48974609375</v>
      </c>
    </row>
    <row r="59" spans="5:17" x14ac:dyDescent="0.3">
      <c r="E59" s="240">
        <v>46213</v>
      </c>
      <c r="F59">
        <v>8740.1748046875</v>
      </c>
      <c r="P59" s="240">
        <v>44529</v>
      </c>
      <c r="Q59">
        <v>5711.7470703125</v>
      </c>
    </row>
    <row r="60" spans="5:17" x14ac:dyDescent="0.3">
      <c r="E60" s="240">
        <v>46216</v>
      </c>
      <c r="F60">
        <v>8817.451171875</v>
      </c>
      <c r="P60" s="240">
        <v>44530</v>
      </c>
      <c r="Q60">
        <v>5708.853515625</v>
      </c>
    </row>
    <row r="61" spans="5:17" x14ac:dyDescent="0.3">
      <c r="E61" s="240">
        <v>46217</v>
      </c>
      <c r="F61">
        <v>8837.1396484375</v>
      </c>
      <c r="P61" s="240">
        <v>44531</v>
      </c>
      <c r="Q61">
        <v>5836.95556640625</v>
      </c>
    </row>
    <row r="62" spans="5:17" x14ac:dyDescent="0.3">
      <c r="E62" s="240">
        <v>46218</v>
      </c>
      <c r="F62">
        <v>8823.3583984375</v>
      </c>
      <c r="P62" s="240">
        <v>44532</v>
      </c>
      <c r="Q62">
        <v>5678.1923828125</v>
      </c>
    </row>
    <row r="63" spans="5:17" x14ac:dyDescent="0.3">
      <c r="E63" s="240">
        <v>46219</v>
      </c>
      <c r="F63">
        <v>8815.482421875</v>
      </c>
      <c r="P63" s="240">
        <v>44533</v>
      </c>
      <c r="Q63">
        <v>5695.3193359375</v>
      </c>
    </row>
    <row r="64" spans="5:17" x14ac:dyDescent="0.3">
      <c r="E64" s="240">
        <v>46220</v>
      </c>
      <c r="F64">
        <v>8939.51953125</v>
      </c>
      <c r="P64" s="240">
        <v>44536</v>
      </c>
      <c r="Q64">
        <v>5686.359375</v>
      </c>
    </row>
    <row r="65" spans="5:17" x14ac:dyDescent="0.3">
      <c r="E65" s="240">
        <v>46223</v>
      </c>
      <c r="F65">
        <v>9109.33203125</v>
      </c>
      <c r="P65" s="240">
        <v>44537</v>
      </c>
      <c r="Q65">
        <v>5675.48583984375</v>
      </c>
    </row>
    <row r="66" spans="5:17" x14ac:dyDescent="0.3">
      <c r="E66" s="240">
        <v>46224</v>
      </c>
      <c r="F66">
        <v>8846</v>
      </c>
      <c r="P66" s="240">
        <v>44538</v>
      </c>
      <c r="Q66">
        <v>5643.00537109375</v>
      </c>
    </row>
    <row r="67" spans="5:17" x14ac:dyDescent="0.3">
      <c r="E67" s="240">
        <v>46225</v>
      </c>
      <c r="F67">
        <v>8735.5</v>
      </c>
      <c r="P67" s="240">
        <v>44539</v>
      </c>
      <c r="Q67">
        <v>5665.591796875</v>
      </c>
    </row>
    <row r="68" spans="5:17" x14ac:dyDescent="0.3">
      <c r="E68" s="240">
        <v>46226</v>
      </c>
      <c r="F68">
        <v>8451.5</v>
      </c>
      <c r="P68" s="240">
        <v>44540</v>
      </c>
      <c r="Q68">
        <v>5634.83837890625</v>
      </c>
    </row>
    <row r="69" spans="5:17" x14ac:dyDescent="0.3">
      <c r="E69" s="240">
        <v>46227</v>
      </c>
      <c r="F69">
        <v>8704</v>
      </c>
      <c r="P69" s="240">
        <v>44543</v>
      </c>
      <c r="Q69">
        <v>5670.07275390625</v>
      </c>
    </row>
    <row r="70" spans="5:17" x14ac:dyDescent="0.3">
      <c r="E70" s="240">
        <v>46230</v>
      </c>
      <c r="F70">
        <v>8894.5</v>
      </c>
      <c r="P70" s="240">
        <v>44544</v>
      </c>
      <c r="Q70">
        <v>5639.50537109375</v>
      </c>
    </row>
    <row r="71" spans="5:17" x14ac:dyDescent="0.3">
      <c r="E71" s="240">
        <v>46231</v>
      </c>
      <c r="F71">
        <v>8765.5</v>
      </c>
      <c r="P71" s="240">
        <v>44545</v>
      </c>
      <c r="Q71">
        <v>5647.3916015625</v>
      </c>
    </row>
    <row r="72" spans="5:17" x14ac:dyDescent="0.3">
      <c r="E72" s="240">
        <v>46232</v>
      </c>
      <c r="F72">
        <v>8520.5</v>
      </c>
      <c r="P72" s="240">
        <v>44546</v>
      </c>
      <c r="Q72">
        <v>5629.28515625</v>
      </c>
    </row>
    <row r="73" spans="5:17" x14ac:dyDescent="0.3">
      <c r="E73" s="240">
        <v>46233</v>
      </c>
      <c r="F73">
        <v>8530.5</v>
      </c>
      <c r="P73" s="240">
        <v>44547</v>
      </c>
      <c r="Q73">
        <v>5578.4169921875</v>
      </c>
    </row>
    <row r="74" spans="5:17" x14ac:dyDescent="0.3">
      <c r="E74" s="240">
        <v>46234</v>
      </c>
      <c r="F74">
        <v>8549.5</v>
      </c>
      <c r="P74" s="240">
        <v>44550</v>
      </c>
      <c r="Q74">
        <v>5186.408203125</v>
      </c>
    </row>
    <row r="75" spans="5:17" x14ac:dyDescent="0.3">
      <c r="E75" s="240">
        <v>46237</v>
      </c>
      <c r="F75">
        <v>8496.5</v>
      </c>
      <c r="P75" s="240">
        <v>44551</v>
      </c>
      <c r="Q75">
        <v>5258.4169921875</v>
      </c>
    </row>
    <row r="76" spans="5:17" x14ac:dyDescent="0.3">
      <c r="E76" s="240">
        <v>46238</v>
      </c>
      <c r="F76">
        <v>8566</v>
      </c>
      <c r="P76" s="240">
        <v>44552</v>
      </c>
      <c r="Q76">
        <v>5259.2568359375</v>
      </c>
    </row>
    <row r="77" spans="5:17" x14ac:dyDescent="0.3">
      <c r="E77" s="240">
        <v>46239</v>
      </c>
      <c r="F77">
        <v>8526.5</v>
      </c>
      <c r="P77" s="240">
        <v>44553</v>
      </c>
      <c r="Q77">
        <v>5399.77294921875</v>
      </c>
    </row>
    <row r="78" spans="5:17" x14ac:dyDescent="0.3">
      <c r="E78" s="240">
        <v>46240</v>
      </c>
      <c r="F78">
        <v>8465</v>
      </c>
      <c r="P78" s="240">
        <v>44554</v>
      </c>
      <c r="Q78">
        <v>5378.6328125</v>
      </c>
    </row>
    <row r="79" spans="5:17" x14ac:dyDescent="0.3">
      <c r="E79" s="240">
        <v>46241</v>
      </c>
      <c r="F79">
        <v>8398.5</v>
      </c>
      <c r="P79" s="240">
        <v>44557</v>
      </c>
      <c r="Q79">
        <v>5434.400390625</v>
      </c>
    </row>
    <row r="80" spans="5:17" x14ac:dyDescent="0.3">
      <c r="E80" s="240">
        <v>46244</v>
      </c>
      <c r="F80">
        <v>8382.5</v>
      </c>
      <c r="P80" s="240">
        <v>44558</v>
      </c>
      <c r="Q80">
        <v>5535.482421875</v>
      </c>
    </row>
    <row r="81" spans="5:17" x14ac:dyDescent="0.3">
      <c r="E81" s="240">
        <v>46245</v>
      </c>
      <c r="F81">
        <v>8193</v>
      </c>
      <c r="P81" s="240">
        <v>44559</v>
      </c>
      <c r="Q81">
        <v>5606.88427734375</v>
      </c>
    </row>
    <row r="82" spans="5:17" x14ac:dyDescent="0.3">
      <c r="E82" s="240">
        <v>46246</v>
      </c>
      <c r="F82">
        <v>8177.5</v>
      </c>
      <c r="P82" s="240">
        <v>44560</v>
      </c>
      <c r="Q82">
        <v>5614.724609375</v>
      </c>
    </row>
    <row r="83" spans="5:17" x14ac:dyDescent="0.3">
      <c r="E83" s="240">
        <v>46247</v>
      </c>
      <c r="F83">
        <v>8305.5</v>
      </c>
      <c r="P83" s="240">
        <v>44561</v>
      </c>
      <c r="Q83">
        <v>5710.95361328125</v>
      </c>
    </row>
    <row r="84" spans="5:17" x14ac:dyDescent="0.3">
      <c r="E84" s="240">
        <v>46248</v>
      </c>
      <c r="F84">
        <v>8351</v>
      </c>
      <c r="P84" s="240">
        <v>44564</v>
      </c>
      <c r="Q84">
        <v>5711.46630859375</v>
      </c>
    </row>
    <row r="85" spans="5:17" x14ac:dyDescent="0.3">
      <c r="E85" s="240">
        <v>46251</v>
      </c>
      <c r="F85">
        <v>8340</v>
      </c>
      <c r="P85" s="240">
        <v>44565</v>
      </c>
      <c r="Q85">
        <v>5614.0712890625</v>
      </c>
    </row>
    <row r="86" spans="5:17" x14ac:dyDescent="0.3">
      <c r="E86" s="240">
        <v>46252</v>
      </c>
      <c r="F86">
        <v>8235</v>
      </c>
      <c r="P86" s="240">
        <v>44566</v>
      </c>
      <c r="Q86">
        <v>5527.92236328125</v>
      </c>
    </row>
    <row r="87" spans="5:17" x14ac:dyDescent="0.3">
      <c r="E87" s="240">
        <v>46253</v>
      </c>
      <c r="F87">
        <v>8049</v>
      </c>
      <c r="P87" s="240">
        <v>44567</v>
      </c>
      <c r="Q87">
        <v>5557.13671875</v>
      </c>
    </row>
    <row r="88" spans="5:17" x14ac:dyDescent="0.3">
      <c r="E88" s="240">
        <v>46254</v>
      </c>
      <c r="F88">
        <v>8087.5</v>
      </c>
      <c r="P88" s="240">
        <v>44568</v>
      </c>
      <c r="Q88">
        <v>5379.84619140625</v>
      </c>
    </row>
    <row r="89" spans="5:17" x14ac:dyDescent="0.3">
      <c r="E89" s="240">
        <v>46255</v>
      </c>
      <c r="F89">
        <v>8029.5</v>
      </c>
      <c r="P89" s="240">
        <v>44571</v>
      </c>
      <c r="Q89">
        <v>5404.06689453125</v>
      </c>
    </row>
    <row r="90" spans="5:17" x14ac:dyDescent="0.3">
      <c r="E90" s="240">
        <v>46258</v>
      </c>
      <c r="F90">
        <v>8153.5</v>
      </c>
      <c r="P90" s="240">
        <v>44572</v>
      </c>
      <c r="Q90">
        <v>5451.8544921875</v>
      </c>
    </row>
    <row r="91" spans="5:17" x14ac:dyDescent="0.3">
      <c r="E91" s="240">
        <v>46259</v>
      </c>
      <c r="F91">
        <v>8152.5</v>
      </c>
      <c r="P91" s="240">
        <v>44573</v>
      </c>
      <c r="Q91">
        <v>5444.90087890625</v>
      </c>
    </row>
    <row r="92" spans="5:17" x14ac:dyDescent="0.3">
      <c r="E92" s="240">
        <v>46260</v>
      </c>
      <c r="F92">
        <v>8197.5</v>
      </c>
      <c r="P92" s="240">
        <v>44574</v>
      </c>
      <c r="Q92">
        <v>5394.7333984375</v>
      </c>
    </row>
    <row r="93" spans="5:17" x14ac:dyDescent="0.3">
      <c r="E93" s="240">
        <v>46261</v>
      </c>
      <c r="F93">
        <v>8239</v>
      </c>
      <c r="P93" s="240">
        <v>44575</v>
      </c>
      <c r="Q93">
        <v>5419.1865234375</v>
      </c>
    </row>
    <row r="94" spans="5:17" x14ac:dyDescent="0.3">
      <c r="E94" s="240">
        <v>46262</v>
      </c>
      <c r="F94">
        <v>8230</v>
      </c>
      <c r="P94" s="240">
        <v>44578</v>
      </c>
      <c r="Q94">
        <v>5490.35498046875</v>
      </c>
    </row>
    <row r="95" spans="5:17" x14ac:dyDescent="0.3">
      <c r="E95" s="240">
        <v>46265</v>
      </c>
      <c r="F95">
        <v>8116.5</v>
      </c>
      <c r="P95" s="240">
        <v>44579</v>
      </c>
      <c r="Q95">
        <v>5320.01806640625</v>
      </c>
    </row>
    <row r="96" spans="5:17" x14ac:dyDescent="0.3">
      <c r="E96" s="240">
        <v>46266</v>
      </c>
      <c r="F96">
        <v>8152</v>
      </c>
      <c r="P96" s="240">
        <v>44580</v>
      </c>
      <c r="Q96">
        <v>5316.70556640625</v>
      </c>
    </row>
    <row r="97" spans="5:17" x14ac:dyDescent="0.3">
      <c r="E97" s="240">
        <v>46267</v>
      </c>
      <c r="F97">
        <v>8194.5</v>
      </c>
      <c r="P97" s="240">
        <v>44581</v>
      </c>
      <c r="Q97">
        <v>5319.1318359375</v>
      </c>
    </row>
    <row r="98" spans="5:17" x14ac:dyDescent="0.3">
      <c r="E98" s="240">
        <v>46268</v>
      </c>
      <c r="F98">
        <v>8297</v>
      </c>
      <c r="P98" s="240">
        <v>44582</v>
      </c>
      <c r="Q98">
        <v>5722.47998046875</v>
      </c>
    </row>
    <row r="99" spans="5:17" x14ac:dyDescent="0.3">
      <c r="E99" s="240">
        <v>46269</v>
      </c>
      <c r="F99">
        <v>8406.5</v>
      </c>
      <c r="P99" s="240">
        <v>44585</v>
      </c>
      <c r="Q99">
        <v>5477.0087890625</v>
      </c>
    </row>
    <row r="100" spans="5:17" x14ac:dyDescent="0.3">
      <c r="E100" s="240">
        <v>46272</v>
      </c>
      <c r="F100">
        <v>8254</v>
      </c>
      <c r="P100" s="240">
        <v>44586</v>
      </c>
      <c r="Q100">
        <v>5409.43408203125</v>
      </c>
    </row>
    <row r="101" spans="5:17" x14ac:dyDescent="0.3">
      <c r="P101" s="240">
        <v>44588</v>
      </c>
      <c r="Q101">
        <v>5491.98876953125</v>
      </c>
    </row>
    <row r="102" spans="5:17" x14ac:dyDescent="0.3">
      <c r="P102" s="240">
        <v>44589</v>
      </c>
      <c r="Q102">
        <v>5469.9150390625</v>
      </c>
    </row>
    <row r="103" spans="5:17" x14ac:dyDescent="0.3">
      <c r="P103" s="240">
        <v>44592</v>
      </c>
      <c r="Q103">
        <v>5562.45654296875</v>
      </c>
    </row>
    <row r="104" spans="5:17" x14ac:dyDescent="0.3">
      <c r="P104" s="240">
        <v>44593</v>
      </c>
      <c r="Q104">
        <v>5544.62939453125</v>
      </c>
    </row>
    <row r="105" spans="5:17" x14ac:dyDescent="0.3">
      <c r="P105" s="240">
        <v>44594</v>
      </c>
      <c r="Q105">
        <v>5456.94091796875</v>
      </c>
    </row>
    <row r="106" spans="5:17" x14ac:dyDescent="0.3">
      <c r="P106" s="240">
        <v>44595</v>
      </c>
      <c r="Q106">
        <v>5405.93408203125</v>
      </c>
    </row>
    <row r="107" spans="5:17" x14ac:dyDescent="0.3">
      <c r="P107" s="240">
        <v>44596</v>
      </c>
      <c r="Q107">
        <v>5324.91845703125</v>
      </c>
    </row>
    <row r="108" spans="5:17" x14ac:dyDescent="0.3">
      <c r="P108" s="240">
        <v>44599</v>
      </c>
      <c r="Q108">
        <v>5299.7646484375</v>
      </c>
    </row>
    <row r="109" spans="5:17" x14ac:dyDescent="0.3">
      <c r="P109" s="240">
        <v>44600</v>
      </c>
      <c r="Q109">
        <v>5256.87744140625</v>
      </c>
    </row>
    <row r="110" spans="5:17" x14ac:dyDescent="0.3">
      <c r="P110" s="240">
        <v>44601</v>
      </c>
      <c r="Q110">
        <v>5296.77783203125</v>
      </c>
    </row>
    <row r="111" spans="5:17" x14ac:dyDescent="0.3">
      <c r="P111" s="240">
        <v>44602</v>
      </c>
      <c r="Q111">
        <v>5276.4775390625</v>
      </c>
    </row>
    <row r="112" spans="5:17" x14ac:dyDescent="0.3">
      <c r="P112" s="240">
        <v>44603</v>
      </c>
      <c r="Q112">
        <v>5223.603515625</v>
      </c>
    </row>
    <row r="113" spans="16:17" x14ac:dyDescent="0.3">
      <c r="P113" s="240">
        <v>44606</v>
      </c>
      <c r="Q113">
        <v>5350.958984375</v>
      </c>
    </row>
    <row r="114" spans="16:17" x14ac:dyDescent="0.3">
      <c r="P114" s="240">
        <v>44607</v>
      </c>
      <c r="Q114">
        <v>5327.01806640625</v>
      </c>
    </row>
    <row r="115" spans="16:17" x14ac:dyDescent="0.3">
      <c r="P115" s="240">
        <v>44608</v>
      </c>
      <c r="Q115">
        <v>5238.0703125</v>
      </c>
    </row>
    <row r="116" spans="16:17" x14ac:dyDescent="0.3">
      <c r="P116" s="240">
        <v>44609</v>
      </c>
      <c r="Q116">
        <v>5195.0419921875</v>
      </c>
    </row>
    <row r="117" spans="16:17" x14ac:dyDescent="0.3">
      <c r="P117" s="240">
        <v>44610</v>
      </c>
      <c r="Q117">
        <v>5200.7822265625</v>
      </c>
    </row>
    <row r="118" spans="16:17" x14ac:dyDescent="0.3">
      <c r="P118" s="240">
        <v>44613</v>
      </c>
      <c r="Q118">
        <v>5191.869140625</v>
      </c>
    </row>
    <row r="119" spans="16:17" x14ac:dyDescent="0.3">
      <c r="P119" s="240">
        <v>44614</v>
      </c>
      <c r="Q119">
        <v>5187.80859375</v>
      </c>
    </row>
    <row r="120" spans="16:17" x14ac:dyDescent="0.3">
      <c r="P120" s="240">
        <v>44615</v>
      </c>
      <c r="Q120">
        <v>5164.98876953125</v>
      </c>
    </row>
    <row r="121" spans="16:17" x14ac:dyDescent="0.3">
      <c r="P121" s="240">
        <v>44616</v>
      </c>
      <c r="Q121">
        <v>4964.41015625</v>
      </c>
    </row>
    <row r="122" spans="16:17" x14ac:dyDescent="0.3">
      <c r="P122" s="240">
        <v>44617</v>
      </c>
      <c r="Q122">
        <v>4855.53564453125</v>
      </c>
    </row>
    <row r="123" spans="16:17" x14ac:dyDescent="0.3">
      <c r="P123" s="240">
        <v>44620</v>
      </c>
      <c r="Q123">
        <v>4937.90380859375</v>
      </c>
    </row>
    <row r="124" spans="16:17" x14ac:dyDescent="0.3">
      <c r="P124" s="240">
        <v>44622</v>
      </c>
      <c r="Q124">
        <v>4872.615234375</v>
      </c>
    </row>
    <row r="125" spans="16:17" x14ac:dyDescent="0.3">
      <c r="P125" s="240">
        <v>44623</v>
      </c>
      <c r="Q125">
        <v>4979.6708984375</v>
      </c>
    </row>
    <row r="126" spans="16:17" x14ac:dyDescent="0.3">
      <c r="P126" s="240">
        <v>44624</v>
      </c>
      <c r="Q126">
        <v>4946.91064453125</v>
      </c>
    </row>
    <row r="127" spans="16:17" x14ac:dyDescent="0.3">
      <c r="P127" s="240">
        <v>44627</v>
      </c>
      <c r="Q127">
        <v>4842.51513671875</v>
      </c>
    </row>
    <row r="128" spans="16:17" x14ac:dyDescent="0.3">
      <c r="P128" s="240">
        <v>44628</v>
      </c>
      <c r="Q128">
        <v>4767.98681640625</v>
      </c>
    </row>
    <row r="129" spans="16:17" x14ac:dyDescent="0.3">
      <c r="P129" s="240">
        <v>44629</v>
      </c>
      <c r="Q129">
        <v>4894.26953125</v>
      </c>
    </row>
    <row r="130" spans="16:17" x14ac:dyDescent="0.3">
      <c r="P130" s="240">
        <v>44630</v>
      </c>
      <c r="Q130">
        <v>5016.49267578125</v>
      </c>
    </row>
    <row r="131" spans="16:17" x14ac:dyDescent="0.3">
      <c r="P131" s="240">
        <v>44631</v>
      </c>
      <c r="Q131">
        <v>5051.4931640625</v>
      </c>
    </row>
    <row r="132" spans="16:17" x14ac:dyDescent="0.3">
      <c r="P132" s="240">
        <v>44634</v>
      </c>
      <c r="Q132">
        <v>5126.1142578125</v>
      </c>
    </row>
    <row r="133" spans="16:17" x14ac:dyDescent="0.3">
      <c r="P133" s="240">
        <v>44635</v>
      </c>
      <c r="Q133">
        <v>5078.83984375</v>
      </c>
    </row>
    <row r="134" spans="16:17" x14ac:dyDescent="0.3">
      <c r="P134" s="240">
        <v>44636</v>
      </c>
      <c r="Q134">
        <v>5145.0146484375</v>
      </c>
    </row>
    <row r="135" spans="16:17" x14ac:dyDescent="0.3">
      <c r="P135" s="240">
        <v>44637</v>
      </c>
      <c r="Q135">
        <v>5161.5810546875</v>
      </c>
    </row>
    <row r="136" spans="16:17" x14ac:dyDescent="0.3">
      <c r="P136" s="240">
        <v>44641</v>
      </c>
      <c r="Q136">
        <v>5047.33935546875</v>
      </c>
    </row>
    <row r="137" spans="16:17" x14ac:dyDescent="0.3">
      <c r="P137" s="240">
        <v>44642</v>
      </c>
      <c r="Q137">
        <v>4983.451171875</v>
      </c>
    </row>
    <row r="138" spans="16:17" x14ac:dyDescent="0.3">
      <c r="P138" s="240">
        <v>44643</v>
      </c>
      <c r="Q138">
        <v>5021.81201171875</v>
      </c>
    </row>
    <row r="139" spans="16:17" x14ac:dyDescent="0.3">
      <c r="P139" s="240">
        <v>44644</v>
      </c>
      <c r="Q139">
        <v>5014.29833984375</v>
      </c>
    </row>
    <row r="140" spans="16:17" x14ac:dyDescent="0.3">
      <c r="P140" s="240">
        <v>44645</v>
      </c>
      <c r="Q140">
        <v>4919.37646484375</v>
      </c>
    </row>
    <row r="141" spans="16:17" x14ac:dyDescent="0.3">
      <c r="P141" s="240">
        <v>44648</v>
      </c>
      <c r="Q141">
        <v>4837.1015625</v>
      </c>
    </row>
    <row r="142" spans="16:17" x14ac:dyDescent="0.3">
      <c r="P142" s="240">
        <v>44649</v>
      </c>
      <c r="Q142">
        <v>4834.44140625</v>
      </c>
    </row>
    <row r="143" spans="16:17" x14ac:dyDescent="0.3">
      <c r="P143" s="240">
        <v>44650</v>
      </c>
      <c r="Q143">
        <v>4810.68798828125</v>
      </c>
    </row>
    <row r="144" spans="16:17" x14ac:dyDescent="0.3">
      <c r="P144" s="240">
        <v>44651</v>
      </c>
      <c r="Q144">
        <v>4730.18603515625</v>
      </c>
    </row>
    <row r="145" spans="16:17" x14ac:dyDescent="0.3">
      <c r="P145" s="240">
        <v>44652</v>
      </c>
      <c r="Q145">
        <v>5020.87890625</v>
      </c>
    </row>
    <row r="146" spans="16:17" x14ac:dyDescent="0.3">
      <c r="P146" s="240">
        <v>44655</v>
      </c>
      <c r="Q146">
        <v>4979.62451171875</v>
      </c>
    </row>
    <row r="147" spans="16:17" x14ac:dyDescent="0.3">
      <c r="P147" s="240">
        <v>44656</v>
      </c>
      <c r="Q147">
        <v>4960.35009765625</v>
      </c>
    </row>
    <row r="148" spans="16:17" x14ac:dyDescent="0.3">
      <c r="P148" s="240">
        <v>44657</v>
      </c>
      <c r="Q148">
        <v>4981.0244140625</v>
      </c>
    </row>
    <row r="149" spans="16:17" x14ac:dyDescent="0.3">
      <c r="P149" s="240">
        <v>44658</v>
      </c>
      <c r="Q149">
        <v>4995.58447265625</v>
      </c>
    </row>
    <row r="150" spans="16:17" x14ac:dyDescent="0.3">
      <c r="P150" s="240">
        <v>44659</v>
      </c>
      <c r="Q150">
        <v>5029.69921875</v>
      </c>
    </row>
    <row r="151" spans="16:17" x14ac:dyDescent="0.3">
      <c r="P151" s="240">
        <v>44662</v>
      </c>
      <c r="Q151">
        <v>4976.9638671875</v>
      </c>
    </row>
    <row r="152" spans="16:17" x14ac:dyDescent="0.3">
      <c r="P152" s="240">
        <v>44663</v>
      </c>
      <c r="Q152">
        <v>4965.95068359375</v>
      </c>
    </row>
    <row r="153" spans="16:17" x14ac:dyDescent="0.3">
      <c r="P153" s="240">
        <v>44664</v>
      </c>
      <c r="Q153">
        <v>4918.3037109375</v>
      </c>
    </row>
    <row r="154" spans="16:17" x14ac:dyDescent="0.3">
      <c r="P154" s="240">
        <v>44669</v>
      </c>
      <c r="Q154">
        <v>4994.51123046875</v>
      </c>
    </row>
    <row r="155" spans="16:17" x14ac:dyDescent="0.3">
      <c r="P155" s="240">
        <v>44670</v>
      </c>
      <c r="Q155">
        <v>4878.916015625</v>
      </c>
    </row>
    <row r="156" spans="16:17" x14ac:dyDescent="0.3">
      <c r="P156" s="240">
        <v>44671</v>
      </c>
      <c r="Q156">
        <v>4913.26318359375</v>
      </c>
    </row>
    <row r="157" spans="16:17" x14ac:dyDescent="0.3">
      <c r="P157" s="240">
        <v>44672</v>
      </c>
      <c r="Q157">
        <v>4916.39013671875</v>
      </c>
    </row>
    <row r="158" spans="16:17" x14ac:dyDescent="0.3">
      <c r="P158" s="240">
        <v>44673</v>
      </c>
      <c r="Q158">
        <v>4863.935546875</v>
      </c>
    </row>
    <row r="159" spans="16:17" x14ac:dyDescent="0.3">
      <c r="P159" s="240">
        <v>44676</v>
      </c>
      <c r="Q159">
        <v>4898.703125</v>
      </c>
    </row>
    <row r="160" spans="16:17" x14ac:dyDescent="0.3">
      <c r="P160" s="240">
        <v>44677</v>
      </c>
      <c r="Q160">
        <v>4942.103515625</v>
      </c>
    </row>
    <row r="161" spans="16:17" x14ac:dyDescent="0.3">
      <c r="P161" s="240">
        <v>44678</v>
      </c>
      <c r="Q161">
        <v>4851.00830078125</v>
      </c>
    </row>
    <row r="162" spans="16:17" x14ac:dyDescent="0.3">
      <c r="P162" s="240">
        <v>44679</v>
      </c>
      <c r="Q162">
        <v>4949.8505859375</v>
      </c>
    </row>
    <row r="163" spans="16:17" x14ac:dyDescent="0.3">
      <c r="P163" s="240">
        <v>44680</v>
      </c>
      <c r="Q163">
        <v>4936.73681640625</v>
      </c>
    </row>
    <row r="164" spans="16:17" x14ac:dyDescent="0.3">
      <c r="P164" s="240">
        <v>44683</v>
      </c>
      <c r="Q164">
        <v>4838.12841796875</v>
      </c>
    </row>
    <row r="165" spans="16:17" x14ac:dyDescent="0.3">
      <c r="P165" s="240">
        <v>44685</v>
      </c>
      <c r="Q165">
        <v>4768.68701171875</v>
      </c>
    </row>
    <row r="166" spans="16:17" x14ac:dyDescent="0.3">
      <c r="P166" s="240">
        <v>44686</v>
      </c>
      <c r="Q166">
        <v>4819.4609375</v>
      </c>
    </row>
    <row r="167" spans="16:17" x14ac:dyDescent="0.3">
      <c r="P167" s="240">
        <v>44687</v>
      </c>
      <c r="Q167">
        <v>4737.60546875</v>
      </c>
    </row>
    <row r="168" spans="16:17" x14ac:dyDescent="0.3">
      <c r="P168" s="240">
        <v>44690</v>
      </c>
      <c r="Q168">
        <v>4798.2734375</v>
      </c>
    </row>
    <row r="169" spans="16:17" x14ac:dyDescent="0.3">
      <c r="P169" s="240">
        <v>44691</v>
      </c>
      <c r="Q169">
        <v>4772.8408203125</v>
      </c>
    </row>
    <row r="170" spans="16:17" x14ac:dyDescent="0.3">
      <c r="P170" s="240">
        <v>44692</v>
      </c>
      <c r="Q170">
        <v>4807.88818359375</v>
      </c>
    </row>
    <row r="171" spans="16:17" x14ac:dyDescent="0.3">
      <c r="P171" s="240">
        <v>44693</v>
      </c>
      <c r="Q171">
        <v>4817.40771484375</v>
      </c>
    </row>
    <row r="172" spans="16:17" x14ac:dyDescent="0.3">
      <c r="P172" s="240">
        <v>44694</v>
      </c>
      <c r="Q172">
        <v>4833.6943359375</v>
      </c>
    </row>
    <row r="173" spans="16:17" x14ac:dyDescent="0.3">
      <c r="P173" s="240">
        <v>44697</v>
      </c>
      <c r="Q173">
        <v>4925.63037109375</v>
      </c>
    </row>
    <row r="174" spans="16:17" x14ac:dyDescent="0.3">
      <c r="P174" s="240">
        <v>44698</v>
      </c>
      <c r="Q174">
        <v>4980.04443359375</v>
      </c>
    </row>
    <row r="175" spans="16:17" x14ac:dyDescent="0.3">
      <c r="P175" s="240">
        <v>44699</v>
      </c>
      <c r="Q175">
        <v>4960.30419921875</v>
      </c>
    </row>
    <row r="176" spans="16:17" x14ac:dyDescent="0.3">
      <c r="P176" s="240">
        <v>44700</v>
      </c>
      <c r="Q176">
        <v>4902.62255859375</v>
      </c>
    </row>
    <row r="177" spans="16:17" x14ac:dyDescent="0.3">
      <c r="P177" s="240">
        <v>44701</v>
      </c>
      <c r="Q177">
        <v>4890.81591796875</v>
      </c>
    </row>
    <row r="178" spans="16:17" x14ac:dyDescent="0.3">
      <c r="P178" s="240">
        <v>44704</v>
      </c>
      <c r="Q178">
        <v>4951.25</v>
      </c>
    </row>
    <row r="179" spans="16:17" x14ac:dyDescent="0.3">
      <c r="P179" s="240">
        <v>44705</v>
      </c>
      <c r="Q179">
        <v>4946.02392578125</v>
      </c>
    </row>
    <row r="180" spans="16:17" x14ac:dyDescent="0.3">
      <c r="P180" s="240">
        <v>44706</v>
      </c>
      <c r="Q180">
        <v>4943.45751953125</v>
      </c>
    </row>
    <row r="181" spans="16:17" x14ac:dyDescent="0.3">
      <c r="P181" s="240">
        <v>44707</v>
      </c>
      <c r="Q181">
        <v>4899.82373046875</v>
      </c>
    </row>
    <row r="182" spans="16:17" x14ac:dyDescent="0.3">
      <c r="P182" s="240">
        <v>44708</v>
      </c>
      <c r="Q182">
        <v>4817.22119140625</v>
      </c>
    </row>
    <row r="183" spans="16:17" x14ac:dyDescent="0.3">
      <c r="P183" s="240">
        <v>44711</v>
      </c>
      <c r="Q183">
        <v>4984.19775390625</v>
      </c>
    </row>
    <row r="184" spans="16:17" x14ac:dyDescent="0.3">
      <c r="P184" s="240">
        <v>44712</v>
      </c>
      <c r="Q184">
        <v>4873.12890625</v>
      </c>
    </row>
    <row r="185" spans="16:17" x14ac:dyDescent="0.3">
      <c r="P185" s="240">
        <v>44713</v>
      </c>
      <c r="Q185">
        <v>4921.5234375</v>
      </c>
    </row>
    <row r="186" spans="16:17" x14ac:dyDescent="0.3">
      <c r="P186" s="240">
        <v>44714</v>
      </c>
      <c r="Q186">
        <v>4877.93603515625</v>
      </c>
    </row>
    <row r="187" spans="16:17" x14ac:dyDescent="0.3">
      <c r="P187" s="240">
        <v>44715</v>
      </c>
      <c r="Q187">
        <v>4879.9423828125</v>
      </c>
    </row>
    <row r="188" spans="16:17" x14ac:dyDescent="0.3">
      <c r="P188" s="240">
        <v>44718</v>
      </c>
      <c r="Q188">
        <v>4918.5830078125</v>
      </c>
    </row>
    <row r="189" spans="16:17" x14ac:dyDescent="0.3">
      <c r="P189" s="240">
        <v>44719</v>
      </c>
      <c r="Q189">
        <v>4849.095703125</v>
      </c>
    </row>
    <row r="190" spans="16:17" x14ac:dyDescent="0.3">
      <c r="P190" s="240">
        <v>44720</v>
      </c>
      <c r="Q190">
        <v>4863.935546875</v>
      </c>
    </row>
    <row r="191" spans="16:17" x14ac:dyDescent="0.3">
      <c r="P191" s="240">
        <v>44721</v>
      </c>
      <c r="Q191">
        <v>4895.66943359375</v>
      </c>
    </row>
    <row r="192" spans="16:17" x14ac:dyDescent="0.3">
      <c r="P192" s="240">
        <v>44722</v>
      </c>
      <c r="Q192">
        <v>4913.123046875</v>
      </c>
    </row>
    <row r="193" spans="16:17" x14ac:dyDescent="0.3">
      <c r="P193" s="240">
        <v>44725</v>
      </c>
      <c r="Q193">
        <v>4811.48046875</v>
      </c>
    </row>
    <row r="194" spans="16:17" x14ac:dyDescent="0.3">
      <c r="P194" s="240">
        <v>44726</v>
      </c>
      <c r="Q194">
        <v>4848.62890625</v>
      </c>
    </row>
    <row r="195" spans="16:17" x14ac:dyDescent="0.3">
      <c r="P195" s="240">
        <v>44727</v>
      </c>
      <c r="Q195">
        <v>4855.7685546875</v>
      </c>
    </row>
    <row r="196" spans="16:17" x14ac:dyDescent="0.3">
      <c r="P196" s="240">
        <v>44728</v>
      </c>
      <c r="Q196">
        <v>4802.28759765625</v>
      </c>
    </row>
    <row r="197" spans="16:17" x14ac:dyDescent="0.3">
      <c r="P197" s="240">
        <v>44729</v>
      </c>
      <c r="Q197">
        <v>4767.38037109375</v>
      </c>
    </row>
    <row r="198" spans="16:17" x14ac:dyDescent="0.3">
      <c r="P198" s="240">
        <v>44732</v>
      </c>
      <c r="Q198">
        <v>4699.7587890625</v>
      </c>
    </row>
    <row r="199" spans="16:17" x14ac:dyDescent="0.3">
      <c r="P199" s="240">
        <v>44733</v>
      </c>
      <c r="Q199">
        <v>4711.1455078125</v>
      </c>
    </row>
    <row r="200" spans="16:17" x14ac:dyDescent="0.3">
      <c r="P200" s="240">
        <v>44734</v>
      </c>
      <c r="Q200">
        <v>4679.64501953125</v>
      </c>
    </row>
    <row r="201" spans="16:17" x14ac:dyDescent="0.3">
      <c r="P201" s="240">
        <v>44735</v>
      </c>
      <c r="Q201">
        <v>4619.1171875</v>
      </c>
    </row>
    <row r="202" spans="16:17" x14ac:dyDescent="0.3">
      <c r="P202" s="240">
        <v>44736</v>
      </c>
      <c r="Q202">
        <v>4685.05859375</v>
      </c>
    </row>
    <row r="203" spans="16:17" x14ac:dyDescent="0.3">
      <c r="P203" s="240">
        <v>44739</v>
      </c>
      <c r="Q203">
        <v>4784.3212890625</v>
      </c>
    </row>
    <row r="204" spans="16:17" x14ac:dyDescent="0.3">
      <c r="P204" s="240">
        <v>44740</v>
      </c>
      <c r="Q204">
        <v>4804.24755859375</v>
      </c>
    </row>
    <row r="205" spans="16:17" x14ac:dyDescent="0.3">
      <c r="P205" s="240">
        <v>44741</v>
      </c>
      <c r="Q205">
        <v>4725.56591796875</v>
      </c>
    </row>
    <row r="206" spans="16:17" x14ac:dyDescent="0.3">
      <c r="P206" s="240">
        <v>44742</v>
      </c>
      <c r="Q206">
        <v>4833.134765625</v>
      </c>
    </row>
    <row r="207" spans="16:17" x14ac:dyDescent="0.3">
      <c r="P207" s="240">
        <v>44743</v>
      </c>
      <c r="Q207">
        <v>4759.91259765625</v>
      </c>
    </row>
    <row r="208" spans="16:17" x14ac:dyDescent="0.3">
      <c r="P208" s="240">
        <v>44746</v>
      </c>
      <c r="Q208">
        <v>4757.06640625</v>
      </c>
    </row>
    <row r="209" spans="16:17" x14ac:dyDescent="0.3">
      <c r="P209" s="240">
        <v>44747</v>
      </c>
      <c r="Q209">
        <v>4769.5263671875</v>
      </c>
    </row>
    <row r="210" spans="16:17" x14ac:dyDescent="0.3">
      <c r="P210" s="240">
        <v>44748</v>
      </c>
      <c r="Q210">
        <v>4832.6689453125</v>
      </c>
    </row>
    <row r="211" spans="16:17" x14ac:dyDescent="0.3">
      <c r="P211" s="240">
        <v>44749</v>
      </c>
      <c r="Q211">
        <v>4853.5283203125</v>
      </c>
    </row>
    <row r="212" spans="16:17" x14ac:dyDescent="0.3">
      <c r="P212" s="240">
        <v>44750</v>
      </c>
      <c r="Q212">
        <v>4904.67578125</v>
      </c>
    </row>
    <row r="213" spans="16:17" x14ac:dyDescent="0.3">
      <c r="P213" s="240">
        <v>44753</v>
      </c>
      <c r="Q213">
        <v>4873.92236328125</v>
      </c>
    </row>
    <row r="214" spans="16:17" x14ac:dyDescent="0.3">
      <c r="P214" s="240">
        <v>44754</v>
      </c>
      <c r="Q214">
        <v>4856.609375</v>
      </c>
    </row>
    <row r="215" spans="16:17" x14ac:dyDescent="0.3">
      <c r="P215" s="240">
        <v>44755</v>
      </c>
      <c r="Q215">
        <v>4890.4892578125</v>
      </c>
    </row>
    <row r="216" spans="16:17" x14ac:dyDescent="0.3">
      <c r="P216" s="240">
        <v>44756</v>
      </c>
      <c r="Q216">
        <v>4891.88916015625</v>
      </c>
    </row>
    <row r="217" spans="16:17" x14ac:dyDescent="0.3">
      <c r="P217" s="240">
        <v>44757</v>
      </c>
      <c r="Q217">
        <v>4815.12109375</v>
      </c>
    </row>
    <row r="218" spans="16:17" x14ac:dyDescent="0.3">
      <c r="P218" s="240">
        <v>44760</v>
      </c>
      <c r="Q218">
        <v>4853.80859375</v>
      </c>
    </row>
    <row r="219" spans="16:17" x14ac:dyDescent="0.3">
      <c r="P219" s="240">
        <v>44761</v>
      </c>
      <c r="Q219">
        <v>4910.88232421875</v>
      </c>
    </row>
    <row r="220" spans="16:17" x14ac:dyDescent="0.3">
      <c r="P220" s="240">
        <v>44762</v>
      </c>
      <c r="Q220">
        <v>4953.77099609375</v>
      </c>
    </row>
    <row r="221" spans="16:17" x14ac:dyDescent="0.3">
      <c r="P221" s="240">
        <v>44763</v>
      </c>
      <c r="Q221">
        <v>4986.85791015625</v>
      </c>
    </row>
    <row r="222" spans="16:17" x14ac:dyDescent="0.3">
      <c r="P222" s="240">
        <v>44764</v>
      </c>
      <c r="Q222">
        <v>5066.4736328125</v>
      </c>
    </row>
    <row r="223" spans="16:17" x14ac:dyDescent="0.3">
      <c r="P223" s="240">
        <v>44767</v>
      </c>
      <c r="Q223">
        <v>5083.55322265625</v>
      </c>
    </row>
    <row r="224" spans="16:17" x14ac:dyDescent="0.3">
      <c r="P224" s="240">
        <v>44768</v>
      </c>
      <c r="Q224">
        <v>5044.11865234375</v>
      </c>
    </row>
    <row r="225" spans="16:17" x14ac:dyDescent="0.3">
      <c r="P225" s="240">
        <v>44769</v>
      </c>
      <c r="Q225">
        <v>5101.83447265625</v>
      </c>
    </row>
    <row r="226" spans="16:17" x14ac:dyDescent="0.3">
      <c r="P226" s="240">
        <v>44770</v>
      </c>
      <c r="Q226">
        <v>5183.75927734375</v>
      </c>
    </row>
    <row r="227" spans="16:17" x14ac:dyDescent="0.3">
      <c r="P227" s="240">
        <v>44771</v>
      </c>
      <c r="Q227">
        <v>5177.29345703125</v>
      </c>
    </row>
    <row r="228" spans="16:17" x14ac:dyDescent="0.3">
      <c r="P228" s="240">
        <v>44774</v>
      </c>
      <c r="Q228">
        <v>5265.400390625</v>
      </c>
    </row>
    <row r="229" spans="16:17" x14ac:dyDescent="0.3">
      <c r="P229" s="240">
        <v>44775</v>
      </c>
      <c r="Q229">
        <v>5345.95703125</v>
      </c>
    </row>
    <row r="230" spans="16:17" x14ac:dyDescent="0.3">
      <c r="P230" s="240">
        <v>44776</v>
      </c>
      <c r="Q230">
        <v>5353.318359375</v>
      </c>
    </row>
    <row r="231" spans="16:17" x14ac:dyDescent="0.3">
      <c r="P231" s="240">
        <v>44777</v>
      </c>
      <c r="Q231">
        <v>5297.58544921875</v>
      </c>
    </row>
    <row r="232" spans="16:17" x14ac:dyDescent="0.3">
      <c r="P232" s="240">
        <v>44778</v>
      </c>
      <c r="Q232">
        <v>5334.064453125</v>
      </c>
    </row>
    <row r="233" spans="16:17" x14ac:dyDescent="0.3">
      <c r="P233" s="240">
        <v>44781</v>
      </c>
      <c r="Q233">
        <v>5434.771484375</v>
      </c>
    </row>
    <row r="234" spans="16:17" x14ac:dyDescent="0.3">
      <c r="P234" s="240">
        <v>44783</v>
      </c>
      <c r="Q234">
        <v>5512.25927734375</v>
      </c>
    </row>
    <row r="235" spans="16:17" x14ac:dyDescent="0.3">
      <c r="P235" s="240">
        <v>44784</v>
      </c>
      <c r="Q235">
        <v>5441.18896484375</v>
      </c>
    </row>
    <row r="236" spans="16:17" x14ac:dyDescent="0.3">
      <c r="P236" s="240">
        <v>44785</v>
      </c>
      <c r="Q236">
        <v>5483.3310546875</v>
      </c>
    </row>
    <row r="237" spans="16:17" x14ac:dyDescent="0.3">
      <c r="P237" s="240">
        <v>44789</v>
      </c>
      <c r="Q237">
        <v>5490.74072265625</v>
      </c>
    </row>
    <row r="238" spans="16:17" x14ac:dyDescent="0.3">
      <c r="P238" s="240">
        <v>44790</v>
      </c>
      <c r="Q238">
        <v>5512.63720703125</v>
      </c>
    </row>
    <row r="239" spans="16:17" x14ac:dyDescent="0.3">
      <c r="P239" s="240">
        <v>44791</v>
      </c>
      <c r="Q239">
        <v>5514.52490234375</v>
      </c>
    </row>
    <row r="240" spans="16:17" x14ac:dyDescent="0.3">
      <c r="P240" s="240">
        <v>44792</v>
      </c>
      <c r="Q240">
        <v>5571.34326171875</v>
      </c>
    </row>
    <row r="241" spans="16:17" x14ac:dyDescent="0.3">
      <c r="P241" s="240">
        <v>44795</v>
      </c>
      <c r="Q241">
        <v>5569.03125</v>
      </c>
    </row>
    <row r="242" spans="16:17" x14ac:dyDescent="0.3">
      <c r="P242" s="240">
        <v>44796</v>
      </c>
      <c r="Q242">
        <v>5579.97900390625</v>
      </c>
    </row>
    <row r="243" spans="16:17" x14ac:dyDescent="0.3">
      <c r="P243" s="240">
        <v>44797</v>
      </c>
      <c r="Q243">
        <v>5552.13623046875</v>
      </c>
    </row>
    <row r="244" spans="16:17" x14ac:dyDescent="0.3">
      <c r="P244" s="240">
        <v>44798</v>
      </c>
      <c r="Q244">
        <v>5493.712890625</v>
      </c>
    </row>
    <row r="245" spans="16:17" x14ac:dyDescent="0.3">
      <c r="P245" s="240">
        <v>44799</v>
      </c>
      <c r="Q245">
        <v>5527.50244140625</v>
      </c>
    </row>
    <row r="246" spans="16:17" x14ac:dyDescent="0.3">
      <c r="P246" s="240">
        <v>44802</v>
      </c>
      <c r="Q246">
        <v>5463.55810546875</v>
      </c>
    </row>
    <row r="247" spans="16:17" x14ac:dyDescent="0.3">
      <c r="P247" s="240">
        <v>44803</v>
      </c>
      <c r="Q247">
        <v>5491.353515625</v>
      </c>
    </row>
    <row r="248" spans="16:17" x14ac:dyDescent="0.3">
      <c r="P248" s="240">
        <v>44805</v>
      </c>
      <c r="Q248">
        <v>5528.1162109375</v>
      </c>
    </row>
    <row r="249" spans="16:17" x14ac:dyDescent="0.3">
      <c r="P249" s="240">
        <v>44806</v>
      </c>
      <c r="Q249">
        <v>5518.34765625</v>
      </c>
    </row>
    <row r="250" spans="16:17" x14ac:dyDescent="0.3">
      <c r="P250" s="240">
        <v>44809</v>
      </c>
      <c r="Q250">
        <v>5498.66845703125</v>
      </c>
    </row>
    <row r="251" spans="16:17" x14ac:dyDescent="0.3">
      <c r="P251" s="240">
        <v>44810</v>
      </c>
      <c r="Q251">
        <v>5450.86328125</v>
      </c>
    </row>
    <row r="252" spans="16:17" x14ac:dyDescent="0.3">
      <c r="P252" s="240">
        <v>44811</v>
      </c>
      <c r="Q252">
        <v>5411.1748046875</v>
      </c>
    </row>
    <row r="253" spans="16:17" x14ac:dyDescent="0.3">
      <c r="P253" s="240">
        <v>44812</v>
      </c>
      <c r="Q253">
        <v>5430.33544921875</v>
      </c>
    </row>
    <row r="254" spans="16:17" x14ac:dyDescent="0.3">
      <c r="P254" s="240">
        <v>44813</v>
      </c>
      <c r="Q254">
        <v>5489.4189453125</v>
      </c>
    </row>
    <row r="255" spans="16:17" x14ac:dyDescent="0.3">
      <c r="P255" s="240">
        <v>44816</v>
      </c>
      <c r="Q255">
        <v>5455.44091796875</v>
      </c>
    </row>
    <row r="256" spans="16:17" x14ac:dyDescent="0.3">
      <c r="P256" s="240">
        <v>44817</v>
      </c>
      <c r="Q256">
        <v>5494.0439453125</v>
      </c>
    </row>
    <row r="257" spans="16:17" x14ac:dyDescent="0.3">
      <c r="P257" s="240">
        <v>44818</v>
      </c>
      <c r="Q257">
        <v>5588.8046875</v>
      </c>
    </row>
    <row r="258" spans="16:17" x14ac:dyDescent="0.3">
      <c r="P258" s="240">
        <v>44819</v>
      </c>
      <c r="Q258">
        <v>5556.33642578125</v>
      </c>
    </row>
    <row r="259" spans="16:17" x14ac:dyDescent="0.3">
      <c r="P259" s="240">
        <v>44820</v>
      </c>
      <c r="Q259">
        <v>5444.3505859375</v>
      </c>
    </row>
    <row r="260" spans="16:17" x14ac:dyDescent="0.3">
      <c r="P260" s="240">
        <v>44823</v>
      </c>
      <c r="Q260">
        <v>5477.24365234375</v>
      </c>
    </row>
    <row r="261" spans="16:17" x14ac:dyDescent="0.3">
      <c r="P261" s="240">
        <v>44824</v>
      </c>
      <c r="Q261">
        <v>5507.068359375</v>
      </c>
    </row>
    <row r="262" spans="16:17" x14ac:dyDescent="0.3">
      <c r="P262" s="240">
        <v>44825</v>
      </c>
      <c r="Q262">
        <v>5492.81689453125</v>
      </c>
    </row>
    <row r="263" spans="16:17" x14ac:dyDescent="0.3">
      <c r="P263" s="240">
        <v>44826</v>
      </c>
      <c r="Q263">
        <v>5572.75927734375</v>
      </c>
    </row>
    <row r="264" spans="16:17" x14ac:dyDescent="0.3">
      <c r="P264" s="240">
        <v>44827</v>
      </c>
      <c r="Q264">
        <v>5483.42578125</v>
      </c>
    </row>
    <row r="265" spans="16:17" x14ac:dyDescent="0.3">
      <c r="P265" s="240">
        <v>44830</v>
      </c>
      <c r="Q265">
        <v>5444.4931640625</v>
      </c>
    </row>
    <row r="266" spans="16:17" x14ac:dyDescent="0.3">
      <c r="P266" s="240">
        <v>44831</v>
      </c>
      <c r="Q266">
        <v>5434.3466796875</v>
      </c>
    </row>
    <row r="267" spans="16:17" x14ac:dyDescent="0.3">
      <c r="P267" s="240">
        <v>44832</v>
      </c>
      <c r="Q267">
        <v>5419.43408203125</v>
      </c>
    </row>
    <row r="268" spans="16:17" x14ac:dyDescent="0.3">
      <c r="P268" s="240">
        <v>44833</v>
      </c>
      <c r="Q268">
        <v>5449.0703125</v>
      </c>
    </row>
    <row r="269" spans="16:17" x14ac:dyDescent="0.3">
      <c r="P269" s="240">
        <v>44834</v>
      </c>
      <c r="Q269">
        <v>5427.55078125</v>
      </c>
    </row>
    <row r="270" spans="16:17" x14ac:dyDescent="0.3">
      <c r="P270" s="240">
        <v>44837</v>
      </c>
      <c r="Q270">
        <v>5465.115234375</v>
      </c>
    </row>
    <row r="271" spans="16:17" x14ac:dyDescent="0.3">
      <c r="P271" s="240">
        <v>44838</v>
      </c>
      <c r="Q271">
        <v>5503.9072265625</v>
      </c>
    </row>
    <row r="272" spans="16:17" x14ac:dyDescent="0.3">
      <c r="P272" s="240">
        <v>44840</v>
      </c>
      <c r="Q272">
        <v>5507.91796875</v>
      </c>
    </row>
    <row r="273" spans="16:17" x14ac:dyDescent="0.3">
      <c r="P273" s="240">
        <v>44841</v>
      </c>
      <c r="Q273">
        <v>5506.78515625</v>
      </c>
    </row>
    <row r="274" spans="16:17" x14ac:dyDescent="0.3">
      <c r="P274" s="240">
        <v>44844</v>
      </c>
      <c r="Q274">
        <v>5474.55322265625</v>
      </c>
    </row>
    <row r="275" spans="16:17" x14ac:dyDescent="0.3">
      <c r="P275" s="240">
        <v>44845</v>
      </c>
      <c r="Q275">
        <v>5456.14892578125</v>
      </c>
    </row>
    <row r="276" spans="16:17" x14ac:dyDescent="0.3">
      <c r="P276" s="240">
        <v>44846</v>
      </c>
      <c r="Q276">
        <v>5458.130859375</v>
      </c>
    </row>
    <row r="277" spans="16:17" x14ac:dyDescent="0.3">
      <c r="P277" s="240">
        <v>44847</v>
      </c>
      <c r="Q277">
        <v>5427.12646484375</v>
      </c>
    </row>
    <row r="278" spans="16:17" x14ac:dyDescent="0.3">
      <c r="P278" s="240">
        <v>44848</v>
      </c>
      <c r="Q278">
        <v>5427.50341796875</v>
      </c>
    </row>
    <row r="279" spans="16:17" x14ac:dyDescent="0.3">
      <c r="P279" s="240">
        <v>44851</v>
      </c>
      <c r="Q279">
        <v>5469.92919921875</v>
      </c>
    </row>
    <row r="280" spans="16:17" x14ac:dyDescent="0.3">
      <c r="P280" s="240">
        <v>44852</v>
      </c>
      <c r="Q280">
        <v>5450.91064453125</v>
      </c>
    </row>
    <row r="281" spans="16:17" x14ac:dyDescent="0.3">
      <c r="P281" s="240">
        <v>44853</v>
      </c>
      <c r="Q281">
        <v>5431.27880859375</v>
      </c>
    </row>
    <row r="282" spans="16:17" x14ac:dyDescent="0.3">
      <c r="P282" s="240">
        <v>44854</v>
      </c>
      <c r="Q282">
        <v>5430.42919921875</v>
      </c>
    </row>
    <row r="283" spans="16:17" x14ac:dyDescent="0.3">
      <c r="P283" s="240">
        <v>44855</v>
      </c>
      <c r="Q283">
        <v>5427.3623046875</v>
      </c>
    </row>
    <row r="284" spans="16:17" x14ac:dyDescent="0.3">
      <c r="P284" s="240">
        <v>44858</v>
      </c>
      <c r="Q284">
        <v>5472.19384765625</v>
      </c>
    </row>
    <row r="285" spans="16:17" x14ac:dyDescent="0.3">
      <c r="P285" s="240">
        <v>44859</v>
      </c>
      <c r="Q285">
        <v>5553.55224609375</v>
      </c>
    </row>
    <row r="286" spans="16:17" x14ac:dyDescent="0.3">
      <c r="P286" s="240">
        <v>44861</v>
      </c>
      <c r="Q286">
        <v>5738.21337890625</v>
      </c>
    </row>
    <row r="287" spans="16:17" x14ac:dyDescent="0.3">
      <c r="P287" s="240">
        <v>44862</v>
      </c>
      <c r="Q287">
        <v>5648.9267578125</v>
      </c>
    </row>
    <row r="288" spans="16:17" x14ac:dyDescent="0.3">
      <c r="P288" s="240">
        <v>44865</v>
      </c>
      <c r="Q288">
        <v>5689.32275390625</v>
      </c>
    </row>
    <row r="289" spans="16:17" x14ac:dyDescent="0.3">
      <c r="P289" s="240">
        <v>44866</v>
      </c>
      <c r="Q289">
        <v>5616.6474609375</v>
      </c>
    </row>
    <row r="290" spans="16:17" x14ac:dyDescent="0.3">
      <c r="P290" s="240">
        <v>44867</v>
      </c>
      <c r="Q290">
        <v>5676.01416015625</v>
      </c>
    </row>
    <row r="291" spans="16:17" x14ac:dyDescent="0.3">
      <c r="P291" s="240">
        <v>44868</v>
      </c>
      <c r="Q291">
        <v>6022.63671875</v>
      </c>
    </row>
    <row r="292" spans="16:17" x14ac:dyDescent="0.3">
      <c r="P292" s="240">
        <v>44869</v>
      </c>
      <c r="Q292">
        <v>6161.04931640625</v>
      </c>
    </row>
    <row r="293" spans="16:17" x14ac:dyDescent="0.3">
      <c r="P293" s="240">
        <v>44872</v>
      </c>
      <c r="Q293">
        <v>6033.25439453125</v>
      </c>
    </row>
    <row r="294" spans="16:17" x14ac:dyDescent="0.3">
      <c r="P294" s="240">
        <v>44874</v>
      </c>
      <c r="Q294">
        <v>6101.54052734375</v>
      </c>
    </row>
    <row r="295" spans="16:17" x14ac:dyDescent="0.3">
      <c r="P295" s="240">
        <v>44875</v>
      </c>
      <c r="Q295">
        <v>6090.68701171875</v>
      </c>
    </row>
    <row r="296" spans="16:17" x14ac:dyDescent="0.3">
      <c r="P296" s="240">
        <v>44876</v>
      </c>
      <c r="Q296">
        <v>6018.955078125</v>
      </c>
    </row>
    <row r="297" spans="16:17" x14ac:dyDescent="0.3">
      <c r="P297" s="240">
        <v>44879</v>
      </c>
      <c r="Q297">
        <v>6089.50634765625</v>
      </c>
    </row>
    <row r="298" spans="16:17" x14ac:dyDescent="0.3">
      <c r="P298" s="240">
        <v>44880</v>
      </c>
      <c r="Q298">
        <v>6044.10888671875</v>
      </c>
    </row>
    <row r="299" spans="16:17" x14ac:dyDescent="0.3">
      <c r="P299" s="240">
        <v>44881</v>
      </c>
      <c r="Q299">
        <v>5963.55322265625</v>
      </c>
    </row>
    <row r="300" spans="16:17" x14ac:dyDescent="0.3">
      <c r="P300" s="240">
        <v>44882</v>
      </c>
      <c r="Q300">
        <v>5948.54541015625</v>
      </c>
    </row>
    <row r="301" spans="16:17" x14ac:dyDescent="0.3">
      <c r="P301" s="240">
        <v>44883</v>
      </c>
      <c r="Q301">
        <v>5955.29443359375</v>
      </c>
    </row>
    <row r="302" spans="16:17" x14ac:dyDescent="0.3">
      <c r="P302" s="240">
        <v>44886</v>
      </c>
      <c r="Q302">
        <v>5945.525390625</v>
      </c>
    </row>
    <row r="303" spans="16:17" x14ac:dyDescent="0.3">
      <c r="P303" s="240">
        <v>44887</v>
      </c>
      <c r="Q303">
        <v>5851.14208984375</v>
      </c>
    </row>
    <row r="304" spans="16:17" x14ac:dyDescent="0.3">
      <c r="P304" s="240">
        <v>44888</v>
      </c>
      <c r="Q304">
        <v>5785.16845703125</v>
      </c>
    </row>
    <row r="305" spans="16:17" x14ac:dyDescent="0.3">
      <c r="P305" s="240">
        <v>44889</v>
      </c>
      <c r="Q305">
        <v>5752.134765625</v>
      </c>
    </row>
    <row r="306" spans="16:17" x14ac:dyDescent="0.3">
      <c r="P306" s="240">
        <v>44890</v>
      </c>
      <c r="Q306">
        <v>5829.76513671875</v>
      </c>
    </row>
    <row r="307" spans="16:17" x14ac:dyDescent="0.3">
      <c r="P307" s="240">
        <v>44893</v>
      </c>
      <c r="Q307">
        <v>5911.02783203125</v>
      </c>
    </row>
    <row r="308" spans="16:17" x14ac:dyDescent="0.3">
      <c r="P308" s="240">
        <v>44894</v>
      </c>
      <c r="Q308">
        <v>6004.37353515625</v>
      </c>
    </row>
    <row r="309" spans="16:17" x14ac:dyDescent="0.3">
      <c r="P309" s="240">
        <v>44895</v>
      </c>
      <c r="Q309">
        <v>5968.4609375</v>
      </c>
    </row>
    <row r="310" spans="16:17" x14ac:dyDescent="0.3">
      <c r="P310" s="240">
        <v>44896</v>
      </c>
      <c r="Q310">
        <v>6003.94873046875</v>
      </c>
    </row>
    <row r="311" spans="16:17" x14ac:dyDescent="0.3">
      <c r="P311" s="240">
        <v>44897</v>
      </c>
      <c r="Q311">
        <v>5960.39111328125</v>
      </c>
    </row>
    <row r="312" spans="16:17" x14ac:dyDescent="0.3">
      <c r="P312" s="240">
        <v>44900</v>
      </c>
      <c r="Q312">
        <v>5977.568359375</v>
      </c>
    </row>
    <row r="313" spans="16:17" x14ac:dyDescent="0.3">
      <c r="P313" s="240">
        <v>44901</v>
      </c>
      <c r="Q313">
        <v>6001.5419921875</v>
      </c>
    </row>
    <row r="314" spans="16:17" x14ac:dyDescent="0.3">
      <c r="P314" s="240">
        <v>44902</v>
      </c>
      <c r="Q314">
        <v>5963.1748046875</v>
      </c>
    </row>
    <row r="315" spans="16:17" x14ac:dyDescent="0.3">
      <c r="P315" s="240">
        <v>44903</v>
      </c>
      <c r="Q315">
        <v>5937.12548828125</v>
      </c>
    </row>
    <row r="316" spans="16:17" x14ac:dyDescent="0.3">
      <c r="P316" s="240">
        <v>44904</v>
      </c>
      <c r="Q316">
        <v>5915.0869140625</v>
      </c>
    </row>
    <row r="317" spans="16:17" x14ac:dyDescent="0.3">
      <c r="P317" s="240">
        <v>44907</v>
      </c>
      <c r="Q317">
        <v>5937.50341796875</v>
      </c>
    </row>
    <row r="318" spans="16:17" x14ac:dyDescent="0.3">
      <c r="P318" s="240">
        <v>44908</v>
      </c>
      <c r="Q318">
        <v>5898.09814453125</v>
      </c>
    </row>
    <row r="319" spans="16:17" x14ac:dyDescent="0.3">
      <c r="P319" s="240">
        <v>44909</v>
      </c>
      <c r="Q319">
        <v>5924.572265625</v>
      </c>
    </row>
    <row r="320" spans="16:17" x14ac:dyDescent="0.3">
      <c r="P320" s="240">
        <v>44910</v>
      </c>
      <c r="Q320">
        <v>5848.310546875</v>
      </c>
    </row>
    <row r="321" spans="16:17" x14ac:dyDescent="0.3">
      <c r="P321" s="240">
        <v>44911</v>
      </c>
      <c r="Q321">
        <v>5896.35205078125</v>
      </c>
    </row>
    <row r="322" spans="16:17" x14ac:dyDescent="0.3">
      <c r="P322" s="240">
        <v>44914</v>
      </c>
      <c r="Q322">
        <v>5848.4521484375</v>
      </c>
    </row>
    <row r="323" spans="16:17" x14ac:dyDescent="0.3">
      <c r="P323" s="240">
        <v>44915</v>
      </c>
      <c r="Q323">
        <v>5861.1943359375</v>
      </c>
    </row>
    <row r="324" spans="16:17" x14ac:dyDescent="0.3">
      <c r="P324" s="240">
        <v>44916</v>
      </c>
      <c r="Q324">
        <v>5831.6044921875</v>
      </c>
    </row>
    <row r="325" spans="16:17" x14ac:dyDescent="0.3">
      <c r="P325" s="240">
        <v>44917</v>
      </c>
      <c r="Q325">
        <v>5846.14013671875</v>
      </c>
    </row>
    <row r="326" spans="16:17" x14ac:dyDescent="0.3">
      <c r="P326" s="240">
        <v>44918</v>
      </c>
      <c r="Q326">
        <v>5783.564453125</v>
      </c>
    </row>
    <row r="327" spans="16:17" x14ac:dyDescent="0.3">
      <c r="P327" s="240">
        <v>44921</v>
      </c>
      <c r="Q327">
        <v>5859.58935546875</v>
      </c>
    </row>
    <row r="328" spans="16:17" x14ac:dyDescent="0.3">
      <c r="P328" s="240">
        <v>44922</v>
      </c>
      <c r="Q328">
        <v>5828.6787109375</v>
      </c>
    </row>
    <row r="329" spans="16:17" x14ac:dyDescent="0.3">
      <c r="P329" s="240">
        <v>44923</v>
      </c>
      <c r="Q329">
        <v>5849.0654296875</v>
      </c>
    </row>
    <row r="330" spans="16:17" x14ac:dyDescent="0.3">
      <c r="P330" s="240">
        <v>44924</v>
      </c>
      <c r="Q330">
        <v>6015.88818359375</v>
      </c>
    </row>
    <row r="331" spans="16:17" x14ac:dyDescent="0.3">
      <c r="P331" s="240">
        <v>44925</v>
      </c>
      <c r="Q331">
        <v>5918.2490234375</v>
      </c>
    </row>
    <row r="332" spans="16:17" x14ac:dyDescent="0.3">
      <c r="P332" s="240">
        <v>44928</v>
      </c>
      <c r="Q332">
        <v>5879.88232421875</v>
      </c>
    </row>
    <row r="333" spans="16:17" x14ac:dyDescent="0.3">
      <c r="P333" s="240">
        <v>44929</v>
      </c>
      <c r="Q333">
        <v>5855.05908203125</v>
      </c>
    </row>
    <row r="334" spans="16:17" x14ac:dyDescent="0.3">
      <c r="P334" s="240">
        <v>44930</v>
      </c>
      <c r="Q334">
        <v>5897.814453125</v>
      </c>
    </row>
    <row r="335" spans="16:17" x14ac:dyDescent="0.3">
      <c r="P335" s="240">
        <v>44931</v>
      </c>
      <c r="Q335">
        <v>5883.6572265625</v>
      </c>
    </row>
    <row r="336" spans="16:17" x14ac:dyDescent="0.3">
      <c r="P336" s="240">
        <v>44932</v>
      </c>
      <c r="Q336">
        <v>5837.9287109375</v>
      </c>
    </row>
    <row r="337" spans="16:17" x14ac:dyDescent="0.3">
      <c r="P337" s="240">
        <v>44935</v>
      </c>
      <c r="Q337">
        <v>5864.9228515625</v>
      </c>
    </row>
    <row r="338" spans="16:17" x14ac:dyDescent="0.3">
      <c r="P338" s="240">
        <v>44936</v>
      </c>
      <c r="Q338">
        <v>5912.06689453125</v>
      </c>
    </row>
    <row r="339" spans="16:17" x14ac:dyDescent="0.3">
      <c r="P339" s="240">
        <v>44937</v>
      </c>
      <c r="Q339">
        <v>5830.9443359375</v>
      </c>
    </row>
    <row r="340" spans="16:17" x14ac:dyDescent="0.3">
      <c r="P340" s="240">
        <v>44938</v>
      </c>
      <c r="Q340">
        <v>5823.29931640625</v>
      </c>
    </row>
    <row r="341" spans="16:17" x14ac:dyDescent="0.3">
      <c r="P341" s="240">
        <v>44939</v>
      </c>
      <c r="Q341">
        <v>5842.3173828125</v>
      </c>
    </row>
    <row r="342" spans="16:17" x14ac:dyDescent="0.3">
      <c r="P342" s="240">
        <v>44942</v>
      </c>
      <c r="Q342">
        <v>5806.12158203125</v>
      </c>
    </row>
    <row r="343" spans="16:17" x14ac:dyDescent="0.3">
      <c r="P343" s="240">
        <v>44943</v>
      </c>
      <c r="Q343">
        <v>5816.880859375</v>
      </c>
    </row>
    <row r="344" spans="16:17" x14ac:dyDescent="0.3">
      <c r="P344" s="240">
        <v>44944</v>
      </c>
      <c r="Q344">
        <v>5807.7734375</v>
      </c>
    </row>
    <row r="345" spans="16:17" x14ac:dyDescent="0.3">
      <c r="P345" s="240">
        <v>44945</v>
      </c>
      <c r="Q345">
        <v>5766.48046875</v>
      </c>
    </row>
    <row r="346" spans="16:17" x14ac:dyDescent="0.3">
      <c r="P346" s="240">
        <v>44946</v>
      </c>
      <c r="Q346">
        <v>5747.0849609375</v>
      </c>
    </row>
    <row r="347" spans="16:17" x14ac:dyDescent="0.3">
      <c r="P347" s="240">
        <v>44949</v>
      </c>
      <c r="Q347">
        <v>5672.89990234375</v>
      </c>
    </row>
    <row r="348" spans="16:17" x14ac:dyDescent="0.3">
      <c r="P348" s="240">
        <v>44950</v>
      </c>
      <c r="Q348">
        <v>5702.20556640625</v>
      </c>
    </row>
    <row r="349" spans="16:17" x14ac:dyDescent="0.3">
      <c r="P349" s="240">
        <v>44951</v>
      </c>
      <c r="Q349">
        <v>5732.078125</v>
      </c>
    </row>
    <row r="350" spans="16:17" x14ac:dyDescent="0.3">
      <c r="P350" s="240">
        <v>44953</v>
      </c>
      <c r="Q350">
        <v>5849.8681640625</v>
      </c>
    </row>
    <row r="351" spans="16:17" x14ac:dyDescent="0.3">
      <c r="P351" s="240">
        <v>44956</v>
      </c>
      <c r="Q351">
        <v>5902.25048828125</v>
      </c>
    </row>
    <row r="352" spans="16:17" x14ac:dyDescent="0.3">
      <c r="P352" s="240">
        <v>44957</v>
      </c>
      <c r="Q352">
        <v>5856.0498046875</v>
      </c>
    </row>
    <row r="353" spans="16:17" x14ac:dyDescent="0.3">
      <c r="P353" s="240">
        <v>44958</v>
      </c>
      <c r="Q353">
        <v>5844.01611328125</v>
      </c>
    </row>
    <row r="354" spans="16:17" x14ac:dyDescent="0.3">
      <c r="P354" s="240">
        <v>44959</v>
      </c>
      <c r="Q354">
        <v>5756.80615234375</v>
      </c>
    </row>
    <row r="355" spans="16:17" x14ac:dyDescent="0.3">
      <c r="P355" s="240">
        <v>44960</v>
      </c>
      <c r="Q355">
        <v>5754.87109375</v>
      </c>
    </row>
    <row r="356" spans="16:17" x14ac:dyDescent="0.3">
      <c r="P356" s="240">
        <v>44963</v>
      </c>
      <c r="Q356">
        <v>5662.42333984375</v>
      </c>
    </row>
    <row r="357" spans="16:17" x14ac:dyDescent="0.3">
      <c r="P357" s="240">
        <v>44964</v>
      </c>
      <c r="Q357">
        <v>5662.32861328125</v>
      </c>
    </row>
    <row r="358" spans="16:17" x14ac:dyDescent="0.3">
      <c r="P358" s="240">
        <v>44965</v>
      </c>
      <c r="Q358">
        <v>5658.41162109375</v>
      </c>
    </row>
    <row r="359" spans="16:17" x14ac:dyDescent="0.3">
      <c r="P359" s="240">
        <v>44966</v>
      </c>
      <c r="Q359">
        <v>5707.96240234375</v>
      </c>
    </row>
    <row r="360" spans="16:17" x14ac:dyDescent="0.3">
      <c r="P360" s="240">
        <v>44967</v>
      </c>
      <c r="Q360">
        <v>5667.189453125</v>
      </c>
    </row>
    <row r="361" spans="16:17" x14ac:dyDescent="0.3">
      <c r="P361" s="240">
        <v>44970</v>
      </c>
      <c r="Q361">
        <v>5685.6416015625</v>
      </c>
    </row>
    <row r="362" spans="16:17" x14ac:dyDescent="0.3">
      <c r="P362" s="240">
        <v>44971</v>
      </c>
      <c r="Q362">
        <v>5680.49755859375</v>
      </c>
    </row>
    <row r="363" spans="16:17" x14ac:dyDescent="0.3">
      <c r="P363" s="240">
        <v>44972</v>
      </c>
      <c r="Q363">
        <v>5668.36962890625</v>
      </c>
    </row>
    <row r="364" spans="16:17" x14ac:dyDescent="0.3">
      <c r="P364" s="240">
        <v>44973</v>
      </c>
      <c r="Q364">
        <v>5581.81982421875</v>
      </c>
    </row>
    <row r="365" spans="16:17" x14ac:dyDescent="0.3">
      <c r="P365" s="240">
        <v>44974</v>
      </c>
      <c r="Q365">
        <v>5653.55078125</v>
      </c>
    </row>
    <row r="366" spans="16:17" x14ac:dyDescent="0.3">
      <c r="P366" s="240">
        <v>44977</v>
      </c>
      <c r="Q366">
        <v>5637.31689453125</v>
      </c>
    </row>
    <row r="367" spans="16:17" x14ac:dyDescent="0.3">
      <c r="P367" s="240">
        <v>44978</v>
      </c>
      <c r="Q367">
        <v>5608.57763671875</v>
      </c>
    </row>
    <row r="368" spans="16:17" x14ac:dyDescent="0.3">
      <c r="P368" s="240">
        <v>44979</v>
      </c>
      <c r="Q368">
        <v>5587.10546875</v>
      </c>
    </row>
    <row r="369" spans="16:17" x14ac:dyDescent="0.3">
      <c r="P369" s="240">
        <v>44980</v>
      </c>
      <c r="Q369">
        <v>5571.34326171875</v>
      </c>
    </row>
    <row r="370" spans="16:17" x14ac:dyDescent="0.3">
      <c r="P370" s="240">
        <v>44981</v>
      </c>
      <c r="Q370">
        <v>5559.9228515625</v>
      </c>
    </row>
    <row r="371" spans="16:17" x14ac:dyDescent="0.3">
      <c r="P371" s="240">
        <v>44984</v>
      </c>
      <c r="Q371">
        <v>5620.23388671875</v>
      </c>
    </row>
    <row r="372" spans="16:17" x14ac:dyDescent="0.3">
      <c r="P372" s="240">
        <v>44985</v>
      </c>
      <c r="Q372">
        <v>5589.04052734375</v>
      </c>
    </row>
    <row r="373" spans="16:17" x14ac:dyDescent="0.3">
      <c r="P373" s="240">
        <v>44986</v>
      </c>
      <c r="Q373">
        <v>5764.40478515625</v>
      </c>
    </row>
    <row r="374" spans="16:17" x14ac:dyDescent="0.3">
      <c r="P374" s="240">
        <v>44987</v>
      </c>
      <c r="Q374">
        <v>5801.166015625</v>
      </c>
    </row>
    <row r="375" spans="16:17" x14ac:dyDescent="0.3">
      <c r="P375" s="240">
        <v>44988</v>
      </c>
      <c r="Q375">
        <v>5831.65283203125</v>
      </c>
    </row>
    <row r="376" spans="16:17" x14ac:dyDescent="0.3">
      <c r="P376" s="240">
        <v>44991</v>
      </c>
      <c r="Q376">
        <v>5827.923828125</v>
      </c>
    </row>
    <row r="377" spans="16:17" x14ac:dyDescent="0.3">
      <c r="P377" s="240">
        <v>44993</v>
      </c>
      <c r="Q377">
        <v>5756.71142578125</v>
      </c>
    </row>
    <row r="378" spans="16:17" x14ac:dyDescent="0.3">
      <c r="P378" s="240">
        <v>44994</v>
      </c>
      <c r="Q378">
        <v>5751.4267578125</v>
      </c>
    </row>
    <row r="379" spans="16:17" x14ac:dyDescent="0.3">
      <c r="P379" s="240">
        <v>44995</v>
      </c>
      <c r="Q379">
        <v>5732.03076171875</v>
      </c>
    </row>
    <row r="380" spans="16:17" x14ac:dyDescent="0.3">
      <c r="P380" s="240">
        <v>44998</v>
      </c>
      <c r="Q380">
        <v>5734.34326171875</v>
      </c>
    </row>
    <row r="381" spans="16:17" x14ac:dyDescent="0.3">
      <c r="P381" s="240">
        <v>44999</v>
      </c>
      <c r="Q381">
        <v>5744.63134765625</v>
      </c>
    </row>
    <row r="382" spans="16:17" x14ac:dyDescent="0.3">
      <c r="P382" s="240">
        <v>45000</v>
      </c>
      <c r="Q382">
        <v>5795.22021484375</v>
      </c>
    </row>
    <row r="383" spans="16:17" x14ac:dyDescent="0.3">
      <c r="P383" s="240">
        <v>45001</v>
      </c>
      <c r="Q383">
        <v>5852.369140625</v>
      </c>
    </row>
    <row r="384" spans="16:17" x14ac:dyDescent="0.3">
      <c r="P384" s="240">
        <v>45002</v>
      </c>
      <c r="Q384">
        <v>5811.595703125</v>
      </c>
    </row>
    <row r="385" spans="16:17" x14ac:dyDescent="0.3">
      <c r="P385" s="240">
        <v>45005</v>
      </c>
      <c r="Q385">
        <v>5735.66455078125</v>
      </c>
    </row>
    <row r="386" spans="16:17" x14ac:dyDescent="0.3">
      <c r="P386" s="240">
        <v>45006</v>
      </c>
      <c r="Q386">
        <v>5784.224609375</v>
      </c>
    </row>
    <row r="387" spans="16:17" x14ac:dyDescent="0.3">
      <c r="P387" s="240">
        <v>45007</v>
      </c>
      <c r="Q387">
        <v>5865.81884765625</v>
      </c>
    </row>
    <row r="388" spans="16:17" x14ac:dyDescent="0.3">
      <c r="P388" s="240">
        <v>45008</v>
      </c>
      <c r="Q388">
        <v>5858.59814453125</v>
      </c>
    </row>
    <row r="389" spans="16:17" x14ac:dyDescent="0.3">
      <c r="P389" s="240">
        <v>45009</v>
      </c>
      <c r="Q389">
        <v>5835.99365234375</v>
      </c>
    </row>
    <row r="390" spans="16:17" x14ac:dyDescent="0.3">
      <c r="P390" s="240">
        <v>45012</v>
      </c>
      <c r="Q390">
        <v>5773.98388671875</v>
      </c>
    </row>
    <row r="391" spans="16:17" x14ac:dyDescent="0.3">
      <c r="P391" s="240">
        <v>45013</v>
      </c>
      <c r="Q391">
        <v>5800.22216796875</v>
      </c>
    </row>
    <row r="392" spans="16:17" x14ac:dyDescent="0.3">
      <c r="P392" s="240">
        <v>45014</v>
      </c>
      <c r="Q392">
        <v>5802.2041015625</v>
      </c>
    </row>
    <row r="393" spans="16:17" x14ac:dyDescent="0.3">
      <c r="P393" s="240">
        <v>45016</v>
      </c>
      <c r="Q393">
        <v>5810.84033203125</v>
      </c>
    </row>
    <row r="394" spans="16:17" x14ac:dyDescent="0.3">
      <c r="P394" s="240">
        <v>45019</v>
      </c>
      <c r="Q394">
        <v>5845.47998046875</v>
      </c>
    </row>
    <row r="395" spans="16:17" x14ac:dyDescent="0.3">
      <c r="P395" s="240">
        <v>45021</v>
      </c>
      <c r="Q395">
        <v>5941.892578125</v>
      </c>
    </row>
    <row r="396" spans="16:17" x14ac:dyDescent="0.3">
      <c r="P396" s="240">
        <v>45022</v>
      </c>
      <c r="Q396">
        <v>5934.435546875</v>
      </c>
    </row>
    <row r="397" spans="16:17" x14ac:dyDescent="0.3">
      <c r="P397" s="240">
        <v>45026</v>
      </c>
      <c r="Q397">
        <v>5913.48193359375</v>
      </c>
    </row>
    <row r="398" spans="16:17" x14ac:dyDescent="0.3">
      <c r="P398" s="240">
        <v>45027</v>
      </c>
      <c r="Q398">
        <v>5833.06787109375</v>
      </c>
    </row>
    <row r="399" spans="16:17" x14ac:dyDescent="0.3">
      <c r="P399" s="240">
        <v>45028</v>
      </c>
      <c r="Q399">
        <v>5882.85546875</v>
      </c>
    </row>
    <row r="400" spans="16:17" x14ac:dyDescent="0.3">
      <c r="P400" s="240">
        <v>45029</v>
      </c>
      <c r="Q400">
        <v>5780.26025390625</v>
      </c>
    </row>
    <row r="401" spans="16:17" x14ac:dyDescent="0.3">
      <c r="P401" s="240">
        <v>45033</v>
      </c>
      <c r="Q401">
        <v>5801.2138671875</v>
      </c>
    </row>
    <row r="402" spans="16:17" x14ac:dyDescent="0.3">
      <c r="P402" s="240">
        <v>45034</v>
      </c>
      <c r="Q402">
        <v>5875.30419921875</v>
      </c>
    </row>
    <row r="403" spans="16:17" x14ac:dyDescent="0.3">
      <c r="P403" s="240">
        <v>45035</v>
      </c>
      <c r="Q403">
        <v>5884.7900390625</v>
      </c>
    </row>
    <row r="404" spans="16:17" x14ac:dyDescent="0.3">
      <c r="P404" s="240">
        <v>45036</v>
      </c>
      <c r="Q404">
        <v>5819.71240234375</v>
      </c>
    </row>
    <row r="405" spans="16:17" x14ac:dyDescent="0.3">
      <c r="P405" s="240">
        <v>45037</v>
      </c>
      <c r="Q405">
        <v>5899.65576171875</v>
      </c>
    </row>
    <row r="406" spans="16:17" x14ac:dyDescent="0.3">
      <c r="P406" s="240">
        <v>45040</v>
      </c>
      <c r="Q406">
        <v>6036.369140625</v>
      </c>
    </row>
    <row r="407" spans="16:17" x14ac:dyDescent="0.3">
      <c r="P407" s="240">
        <v>45041</v>
      </c>
      <c r="Q407">
        <v>5951.896484375</v>
      </c>
    </row>
    <row r="408" spans="16:17" x14ac:dyDescent="0.3">
      <c r="P408" s="240">
        <v>45042</v>
      </c>
      <c r="Q408">
        <v>5974.97265625</v>
      </c>
    </row>
    <row r="409" spans="16:17" x14ac:dyDescent="0.3">
      <c r="P409" s="240">
        <v>45043</v>
      </c>
      <c r="Q409">
        <v>5954.96435546875</v>
      </c>
    </row>
    <row r="410" spans="16:17" x14ac:dyDescent="0.3">
      <c r="P410" s="240">
        <v>45044</v>
      </c>
      <c r="Q410">
        <v>6005.88330078125</v>
      </c>
    </row>
    <row r="411" spans="16:17" x14ac:dyDescent="0.3">
      <c r="P411" s="240">
        <v>45048</v>
      </c>
      <c r="Q411">
        <v>5966.14892578125</v>
      </c>
    </row>
    <row r="412" spans="16:17" x14ac:dyDescent="0.3">
      <c r="P412" s="240">
        <v>45049</v>
      </c>
      <c r="Q412">
        <v>6012.8681640625</v>
      </c>
    </row>
    <row r="413" spans="16:17" x14ac:dyDescent="0.3">
      <c r="P413" s="240">
        <v>45050</v>
      </c>
      <c r="Q413">
        <v>6077.28466796875</v>
      </c>
    </row>
    <row r="414" spans="16:17" x14ac:dyDescent="0.3">
      <c r="P414" s="240">
        <v>45051</v>
      </c>
      <c r="Q414">
        <v>5995.78466796875</v>
      </c>
    </row>
    <row r="415" spans="16:17" x14ac:dyDescent="0.3">
      <c r="P415" s="240">
        <v>45054</v>
      </c>
      <c r="Q415">
        <v>6027.63916015625</v>
      </c>
    </row>
    <row r="416" spans="16:17" x14ac:dyDescent="0.3">
      <c r="P416" s="240">
        <v>45055</v>
      </c>
      <c r="Q416">
        <v>6043.16455078125</v>
      </c>
    </row>
    <row r="417" spans="16:17" x14ac:dyDescent="0.3">
      <c r="P417" s="240">
        <v>45056</v>
      </c>
      <c r="Q417">
        <v>6074.40576171875</v>
      </c>
    </row>
    <row r="418" spans="16:17" x14ac:dyDescent="0.3">
      <c r="P418" s="240">
        <v>45057</v>
      </c>
      <c r="Q418">
        <v>6039.3427734375</v>
      </c>
    </row>
    <row r="419" spans="16:17" x14ac:dyDescent="0.3">
      <c r="P419" s="240">
        <v>45058</v>
      </c>
      <c r="Q419">
        <v>6083.13623046875</v>
      </c>
    </row>
    <row r="420" spans="16:17" x14ac:dyDescent="0.3">
      <c r="P420" s="240">
        <v>45061</v>
      </c>
      <c r="Q420">
        <v>6051.70703125</v>
      </c>
    </row>
    <row r="421" spans="16:17" x14ac:dyDescent="0.3">
      <c r="P421" s="240">
        <v>45062</v>
      </c>
      <c r="Q421">
        <v>6057.60546875</v>
      </c>
    </row>
    <row r="422" spans="16:17" x14ac:dyDescent="0.3">
      <c r="P422" s="240">
        <v>45063</v>
      </c>
      <c r="Q422">
        <v>6053.9716796875</v>
      </c>
    </row>
    <row r="423" spans="16:17" x14ac:dyDescent="0.3">
      <c r="P423" s="240">
        <v>45064</v>
      </c>
      <c r="Q423">
        <v>6006.8271484375</v>
      </c>
    </row>
    <row r="424" spans="16:17" x14ac:dyDescent="0.3">
      <c r="P424" s="240">
        <v>45065</v>
      </c>
      <c r="Q424">
        <v>6035.9443359375</v>
      </c>
    </row>
    <row r="425" spans="16:17" x14ac:dyDescent="0.3">
      <c r="P425" s="240">
        <v>45068</v>
      </c>
      <c r="Q425">
        <v>6018.4833984375</v>
      </c>
    </row>
    <row r="426" spans="16:17" x14ac:dyDescent="0.3">
      <c r="P426" s="240">
        <v>45069</v>
      </c>
      <c r="Q426">
        <v>6032.4052734375</v>
      </c>
    </row>
    <row r="427" spans="16:17" x14ac:dyDescent="0.3">
      <c r="P427" s="240">
        <v>45070</v>
      </c>
      <c r="Q427">
        <v>6027.21435546875</v>
      </c>
    </row>
    <row r="428" spans="16:17" x14ac:dyDescent="0.3">
      <c r="P428" s="240">
        <v>45071</v>
      </c>
      <c r="Q428">
        <v>5976.43603515625</v>
      </c>
    </row>
    <row r="429" spans="16:17" x14ac:dyDescent="0.3">
      <c r="P429" s="240">
        <v>45072</v>
      </c>
      <c r="Q429">
        <v>6033.44287109375</v>
      </c>
    </row>
    <row r="430" spans="16:17" x14ac:dyDescent="0.3">
      <c r="P430" s="240">
        <v>45075</v>
      </c>
      <c r="Q430">
        <v>5986.77099609375</v>
      </c>
    </row>
    <row r="431" spans="16:17" x14ac:dyDescent="0.3">
      <c r="P431" s="240">
        <v>45076</v>
      </c>
      <c r="Q431">
        <v>6041.5126953125</v>
      </c>
    </row>
    <row r="432" spans="16:17" x14ac:dyDescent="0.3">
      <c r="P432" s="240">
        <v>45077</v>
      </c>
      <c r="Q432">
        <v>6025.4208984375</v>
      </c>
    </row>
    <row r="433" spans="16:17" x14ac:dyDescent="0.3">
      <c r="P433" s="240">
        <v>45078</v>
      </c>
      <c r="Q433">
        <v>6045.33642578125</v>
      </c>
    </row>
    <row r="434" spans="16:17" x14ac:dyDescent="0.3">
      <c r="P434" s="240">
        <v>45079</v>
      </c>
      <c r="Q434">
        <v>6037.3603515625</v>
      </c>
    </row>
    <row r="435" spans="16:17" x14ac:dyDescent="0.3">
      <c r="P435" s="240">
        <v>45082</v>
      </c>
      <c r="Q435">
        <v>6040.09765625</v>
      </c>
    </row>
    <row r="436" spans="16:17" x14ac:dyDescent="0.3">
      <c r="P436" s="240">
        <v>45083</v>
      </c>
      <c r="Q436">
        <v>6033.44287109375</v>
      </c>
    </row>
    <row r="437" spans="16:17" x14ac:dyDescent="0.3">
      <c r="P437" s="240">
        <v>45084</v>
      </c>
      <c r="Q437">
        <v>6035.0009765625</v>
      </c>
    </row>
    <row r="438" spans="16:17" x14ac:dyDescent="0.3">
      <c r="P438" s="240">
        <v>45085</v>
      </c>
      <c r="Q438">
        <v>6063.126953125</v>
      </c>
    </row>
    <row r="439" spans="16:17" x14ac:dyDescent="0.3">
      <c r="P439" s="240">
        <v>45086</v>
      </c>
      <c r="Q439">
        <v>6066.33642578125</v>
      </c>
    </row>
    <row r="440" spans="16:17" x14ac:dyDescent="0.3">
      <c r="P440" s="240">
        <v>45089</v>
      </c>
      <c r="Q440">
        <v>5967.23388671875</v>
      </c>
    </row>
    <row r="441" spans="16:17" x14ac:dyDescent="0.3">
      <c r="P441" s="240">
        <v>45090</v>
      </c>
      <c r="Q441">
        <v>5993.3310546875</v>
      </c>
    </row>
    <row r="442" spans="16:17" x14ac:dyDescent="0.3">
      <c r="P442" s="240">
        <v>45091</v>
      </c>
      <c r="Q442">
        <v>6000.92822265625</v>
      </c>
    </row>
    <row r="443" spans="16:17" x14ac:dyDescent="0.3">
      <c r="P443" s="240">
        <v>45092</v>
      </c>
      <c r="Q443">
        <v>6035.9443359375</v>
      </c>
    </row>
    <row r="444" spans="16:17" x14ac:dyDescent="0.3">
      <c r="P444" s="240">
        <v>45093</v>
      </c>
      <c r="Q444">
        <v>6024.90185546875</v>
      </c>
    </row>
    <row r="445" spans="16:17" x14ac:dyDescent="0.3">
      <c r="P445" s="240">
        <v>45096</v>
      </c>
      <c r="Q445">
        <v>6000.3623046875</v>
      </c>
    </row>
    <row r="446" spans="16:17" x14ac:dyDescent="0.3">
      <c r="P446" s="240">
        <v>45097</v>
      </c>
      <c r="Q446">
        <v>6009.28125</v>
      </c>
    </row>
    <row r="447" spans="16:17" x14ac:dyDescent="0.3">
      <c r="P447" s="240">
        <v>45098</v>
      </c>
      <c r="Q447">
        <v>6027.21435546875</v>
      </c>
    </row>
    <row r="448" spans="16:17" x14ac:dyDescent="0.3">
      <c r="P448" s="240">
        <v>45099</v>
      </c>
      <c r="Q448">
        <v>6019.38037109375</v>
      </c>
    </row>
    <row r="449" spans="16:17" x14ac:dyDescent="0.3">
      <c r="P449" s="240">
        <v>45100</v>
      </c>
      <c r="Q449">
        <v>6011.9716796875</v>
      </c>
    </row>
    <row r="450" spans="16:17" x14ac:dyDescent="0.3">
      <c r="P450" s="240">
        <v>45103</v>
      </c>
      <c r="Q450">
        <v>6026.8837890625</v>
      </c>
    </row>
    <row r="451" spans="16:17" x14ac:dyDescent="0.3">
      <c r="P451" s="240">
        <v>45104</v>
      </c>
      <c r="Q451">
        <v>6011.1689453125</v>
      </c>
    </row>
    <row r="452" spans="16:17" x14ac:dyDescent="0.3">
      <c r="P452" s="240">
        <v>45105</v>
      </c>
      <c r="Q452">
        <v>6027.591796875</v>
      </c>
    </row>
    <row r="453" spans="16:17" x14ac:dyDescent="0.3">
      <c r="P453" s="240">
        <v>45107</v>
      </c>
      <c r="Q453">
        <v>6033.0185546875</v>
      </c>
    </row>
    <row r="454" spans="16:17" x14ac:dyDescent="0.3">
      <c r="P454" s="240">
        <v>45110</v>
      </c>
      <c r="Q454">
        <v>6038.3515625</v>
      </c>
    </row>
    <row r="455" spans="16:17" x14ac:dyDescent="0.3">
      <c r="P455" s="240">
        <v>45111</v>
      </c>
      <c r="Q455">
        <v>6041.22998046875</v>
      </c>
    </row>
    <row r="456" spans="16:17" x14ac:dyDescent="0.3">
      <c r="P456" s="240">
        <v>45112</v>
      </c>
      <c r="Q456">
        <v>6086.392578125</v>
      </c>
    </row>
    <row r="457" spans="16:17" x14ac:dyDescent="0.3">
      <c r="P457" s="240">
        <v>45113</v>
      </c>
      <c r="Q457">
        <v>6077.61474609375</v>
      </c>
    </row>
    <row r="458" spans="16:17" x14ac:dyDescent="0.3">
      <c r="P458" s="240">
        <v>45114</v>
      </c>
      <c r="Q458">
        <v>6053.3583984375</v>
      </c>
    </row>
    <row r="459" spans="16:17" x14ac:dyDescent="0.3">
      <c r="P459" s="240">
        <v>45117</v>
      </c>
      <c r="Q459">
        <v>6068.69580078125</v>
      </c>
    </row>
    <row r="460" spans="16:17" x14ac:dyDescent="0.3">
      <c r="P460" s="240">
        <v>45118</v>
      </c>
      <c r="Q460">
        <v>6045.8076171875</v>
      </c>
    </row>
    <row r="461" spans="16:17" x14ac:dyDescent="0.3">
      <c r="P461" s="240">
        <v>45119</v>
      </c>
      <c r="Q461">
        <v>6066.85546875</v>
      </c>
    </row>
    <row r="462" spans="16:17" x14ac:dyDescent="0.3">
      <c r="P462" s="240">
        <v>45120</v>
      </c>
      <c r="Q462">
        <v>6040.94677734375</v>
      </c>
    </row>
    <row r="463" spans="16:17" x14ac:dyDescent="0.3">
      <c r="P463" s="240">
        <v>45121</v>
      </c>
      <c r="Q463">
        <v>6219.23681640625</v>
      </c>
    </row>
    <row r="464" spans="16:17" x14ac:dyDescent="0.3">
      <c r="P464" s="240">
        <v>45124</v>
      </c>
      <c r="Q464">
        <v>6219.09521484375</v>
      </c>
    </row>
    <row r="465" spans="16:17" x14ac:dyDescent="0.3">
      <c r="P465" s="240">
        <v>45125</v>
      </c>
      <c r="Q465">
        <v>6182.56884765625</v>
      </c>
    </row>
    <row r="466" spans="16:17" x14ac:dyDescent="0.3">
      <c r="P466" s="240">
        <v>45126</v>
      </c>
      <c r="Q466">
        <v>6206.0703125</v>
      </c>
    </row>
    <row r="467" spans="16:17" x14ac:dyDescent="0.3">
      <c r="P467" s="240">
        <v>45127</v>
      </c>
      <c r="Q467">
        <v>6314.65771484375</v>
      </c>
    </row>
    <row r="468" spans="16:17" x14ac:dyDescent="0.3">
      <c r="P468" s="240">
        <v>45128</v>
      </c>
      <c r="Q468">
        <v>6309.89111328125</v>
      </c>
    </row>
    <row r="469" spans="16:17" x14ac:dyDescent="0.3">
      <c r="P469" s="240">
        <v>45131</v>
      </c>
      <c r="Q469">
        <v>6243.3515625</v>
      </c>
    </row>
    <row r="470" spans="16:17" x14ac:dyDescent="0.3">
      <c r="P470" s="240">
        <v>45132</v>
      </c>
      <c r="Q470">
        <v>6286.390625</v>
      </c>
    </row>
    <row r="471" spans="16:17" x14ac:dyDescent="0.3">
      <c r="P471" s="240">
        <v>45133</v>
      </c>
      <c r="Q471">
        <v>6300.40673828125</v>
      </c>
    </row>
    <row r="472" spans="16:17" x14ac:dyDescent="0.3">
      <c r="P472" s="240">
        <v>45134</v>
      </c>
      <c r="Q472">
        <v>6299.88720703125</v>
      </c>
    </row>
    <row r="473" spans="16:17" x14ac:dyDescent="0.3">
      <c r="P473" s="240">
        <v>45135</v>
      </c>
      <c r="Q473">
        <v>6261.095703125</v>
      </c>
    </row>
    <row r="474" spans="16:17" x14ac:dyDescent="0.3">
      <c r="P474" s="240">
        <v>45138</v>
      </c>
      <c r="Q474">
        <v>6346.79541015625</v>
      </c>
    </row>
    <row r="475" spans="16:17" x14ac:dyDescent="0.3">
      <c r="P475" s="240">
        <v>45139</v>
      </c>
      <c r="Q475">
        <v>6465.01025390625</v>
      </c>
    </row>
    <row r="476" spans="16:17" x14ac:dyDescent="0.3">
      <c r="P476" s="240">
        <v>45140</v>
      </c>
      <c r="Q476">
        <v>6433.25927734375</v>
      </c>
    </row>
    <row r="477" spans="16:17" x14ac:dyDescent="0.3">
      <c r="P477" s="240">
        <v>45141</v>
      </c>
      <c r="Q477">
        <v>6316.78857421875</v>
      </c>
    </row>
    <row r="478" spans="16:17" x14ac:dyDescent="0.3">
      <c r="P478" s="240">
        <v>45142</v>
      </c>
      <c r="Q478">
        <v>6402.369140625</v>
      </c>
    </row>
    <row r="479" spans="16:17" x14ac:dyDescent="0.3">
      <c r="P479" s="240">
        <v>45145</v>
      </c>
      <c r="Q479">
        <v>6420.041015625</v>
      </c>
    </row>
    <row r="480" spans="16:17" x14ac:dyDescent="0.3">
      <c r="P480" s="240">
        <v>45146</v>
      </c>
      <c r="Q480">
        <v>6524.68212890625</v>
      </c>
    </row>
    <row r="481" spans="16:17" x14ac:dyDescent="0.3">
      <c r="P481" s="240">
        <v>45147</v>
      </c>
      <c r="Q481">
        <v>6375.02392578125</v>
      </c>
    </row>
    <row r="482" spans="16:17" x14ac:dyDescent="0.3">
      <c r="P482" s="240">
        <v>45148</v>
      </c>
      <c r="Q482">
        <v>6448.5361328125</v>
      </c>
    </row>
    <row r="483" spans="16:17" x14ac:dyDescent="0.3">
      <c r="P483" s="240">
        <v>45149</v>
      </c>
      <c r="Q483">
        <v>6417.07177734375</v>
      </c>
    </row>
    <row r="484" spans="16:17" x14ac:dyDescent="0.3">
      <c r="P484" s="240">
        <v>45152</v>
      </c>
      <c r="Q484">
        <v>6557.96630859375</v>
      </c>
    </row>
    <row r="485" spans="16:17" x14ac:dyDescent="0.3">
      <c r="P485" s="240">
        <v>45154</v>
      </c>
      <c r="Q485">
        <v>6594.79443359375</v>
      </c>
    </row>
    <row r="486" spans="16:17" x14ac:dyDescent="0.3">
      <c r="P486" s="240">
        <v>45155</v>
      </c>
      <c r="Q486">
        <v>6634.2080078125</v>
      </c>
    </row>
    <row r="487" spans="16:17" x14ac:dyDescent="0.3">
      <c r="P487" s="240">
        <v>45156</v>
      </c>
      <c r="Q487">
        <v>6611.41259765625</v>
      </c>
    </row>
    <row r="488" spans="16:17" x14ac:dyDescent="0.3">
      <c r="P488" s="240">
        <v>45159</v>
      </c>
      <c r="Q488">
        <v>6646.42041015625</v>
      </c>
    </row>
    <row r="489" spans="16:17" x14ac:dyDescent="0.3">
      <c r="P489" s="240">
        <v>45160</v>
      </c>
      <c r="Q489">
        <v>6555.33203125</v>
      </c>
    </row>
    <row r="490" spans="16:17" x14ac:dyDescent="0.3">
      <c r="P490" s="240">
        <v>45161</v>
      </c>
      <c r="Q490">
        <v>6456.77294921875</v>
      </c>
    </row>
    <row r="491" spans="16:17" x14ac:dyDescent="0.3">
      <c r="P491" s="240">
        <v>45162</v>
      </c>
      <c r="Q491">
        <v>6516.87646484375</v>
      </c>
    </row>
    <row r="492" spans="16:17" x14ac:dyDescent="0.3">
      <c r="P492" s="240">
        <v>45163</v>
      </c>
      <c r="Q492">
        <v>6489.673828125</v>
      </c>
    </row>
    <row r="493" spans="16:17" x14ac:dyDescent="0.3">
      <c r="P493" s="240">
        <v>45166</v>
      </c>
      <c r="Q493">
        <v>6525.40087890625</v>
      </c>
    </row>
    <row r="494" spans="16:17" x14ac:dyDescent="0.3">
      <c r="P494" s="240">
        <v>45167</v>
      </c>
      <c r="Q494">
        <v>6483.8798828125</v>
      </c>
    </row>
    <row r="495" spans="16:17" x14ac:dyDescent="0.3">
      <c r="P495" s="240">
        <v>45168</v>
      </c>
      <c r="Q495">
        <v>6583.63623046875</v>
      </c>
    </row>
    <row r="496" spans="16:17" x14ac:dyDescent="0.3">
      <c r="P496" s="240">
        <v>45169</v>
      </c>
      <c r="Q496">
        <v>6638.9013671875</v>
      </c>
    </row>
    <row r="497" spans="16:17" x14ac:dyDescent="0.3">
      <c r="P497" s="240">
        <v>45170</v>
      </c>
      <c r="Q497">
        <v>6697.52001953125</v>
      </c>
    </row>
    <row r="498" spans="16:17" x14ac:dyDescent="0.3">
      <c r="P498" s="240">
        <v>45173</v>
      </c>
      <c r="Q498">
        <v>6711.025390625</v>
      </c>
    </row>
    <row r="499" spans="16:17" x14ac:dyDescent="0.3">
      <c r="P499" s="240">
        <v>45174</v>
      </c>
      <c r="Q499">
        <v>6685.49951171875</v>
      </c>
    </row>
    <row r="500" spans="16:17" x14ac:dyDescent="0.3">
      <c r="P500" s="240">
        <v>45175</v>
      </c>
      <c r="Q500">
        <v>6633.92138671875</v>
      </c>
    </row>
    <row r="501" spans="16:17" x14ac:dyDescent="0.3">
      <c r="P501" s="240">
        <v>45176</v>
      </c>
      <c r="Q501">
        <v>6752.64208984375</v>
      </c>
    </row>
    <row r="502" spans="16:17" x14ac:dyDescent="0.3">
      <c r="P502" s="240">
        <v>45177</v>
      </c>
      <c r="Q502">
        <v>6879.9365234375</v>
      </c>
    </row>
    <row r="503" spans="16:17" x14ac:dyDescent="0.3">
      <c r="P503" s="240">
        <v>45180</v>
      </c>
      <c r="Q503">
        <v>6837.8876953125</v>
      </c>
    </row>
    <row r="504" spans="16:17" x14ac:dyDescent="0.3">
      <c r="P504" s="240">
        <v>45181</v>
      </c>
      <c r="Q504">
        <v>6638.279296875</v>
      </c>
    </row>
    <row r="505" spans="16:17" x14ac:dyDescent="0.3">
      <c r="P505" s="240">
        <v>45182</v>
      </c>
      <c r="Q505">
        <v>6687.07958984375</v>
      </c>
    </row>
    <row r="506" spans="16:17" x14ac:dyDescent="0.3">
      <c r="P506" s="240">
        <v>45183</v>
      </c>
      <c r="Q506">
        <v>6717.77783203125</v>
      </c>
    </row>
    <row r="507" spans="16:17" x14ac:dyDescent="0.3">
      <c r="P507" s="240">
        <v>45184</v>
      </c>
      <c r="Q507">
        <v>6699.0048828125</v>
      </c>
    </row>
    <row r="508" spans="16:17" x14ac:dyDescent="0.3">
      <c r="P508" s="240">
        <v>45187</v>
      </c>
      <c r="Q508">
        <v>6565.14990234375</v>
      </c>
    </row>
    <row r="509" spans="16:17" x14ac:dyDescent="0.3">
      <c r="P509" s="240">
        <v>45189</v>
      </c>
      <c r="Q509">
        <v>6574.8720703125</v>
      </c>
    </row>
    <row r="510" spans="16:17" x14ac:dyDescent="0.3">
      <c r="P510" s="240">
        <v>45190</v>
      </c>
      <c r="Q510">
        <v>6488.189453125</v>
      </c>
    </row>
    <row r="511" spans="16:17" x14ac:dyDescent="0.3">
      <c r="P511" s="240">
        <v>45191</v>
      </c>
      <c r="Q511">
        <v>6619.7451171875</v>
      </c>
    </row>
    <row r="512" spans="16:17" x14ac:dyDescent="0.3">
      <c r="P512" s="240">
        <v>45194</v>
      </c>
      <c r="Q512">
        <v>6542.306640625</v>
      </c>
    </row>
    <row r="513" spans="16:17" x14ac:dyDescent="0.3">
      <c r="P513" s="240">
        <v>45195</v>
      </c>
      <c r="Q513">
        <v>6457.58740234375</v>
      </c>
    </row>
    <row r="514" spans="16:17" x14ac:dyDescent="0.3">
      <c r="P514" s="240">
        <v>45196</v>
      </c>
      <c r="Q514">
        <v>6541.060546875</v>
      </c>
    </row>
    <row r="515" spans="16:17" x14ac:dyDescent="0.3">
      <c r="P515" s="240">
        <v>45197</v>
      </c>
      <c r="Q515">
        <v>6645.79833984375</v>
      </c>
    </row>
    <row r="516" spans="16:17" x14ac:dyDescent="0.3">
      <c r="P516" s="240">
        <v>45198</v>
      </c>
      <c r="Q516">
        <v>6636.50732421875</v>
      </c>
    </row>
    <row r="517" spans="16:17" x14ac:dyDescent="0.3">
      <c r="P517" s="240">
        <v>45202</v>
      </c>
      <c r="Q517">
        <v>6747.0869140625</v>
      </c>
    </row>
    <row r="518" spans="16:17" x14ac:dyDescent="0.3">
      <c r="P518" s="240">
        <v>45203</v>
      </c>
      <c r="Q518">
        <v>6831.662109375</v>
      </c>
    </row>
    <row r="519" spans="16:17" x14ac:dyDescent="0.3">
      <c r="P519" s="240">
        <v>45204</v>
      </c>
      <c r="Q519">
        <v>7046.49951171875</v>
      </c>
    </row>
    <row r="520" spans="16:17" x14ac:dyDescent="0.3">
      <c r="P520" s="240">
        <v>45205</v>
      </c>
      <c r="Q520">
        <v>6919.54150390625</v>
      </c>
    </row>
    <row r="521" spans="16:17" x14ac:dyDescent="0.3">
      <c r="P521" s="240">
        <v>45208</v>
      </c>
      <c r="Q521">
        <v>6800.9638671875</v>
      </c>
    </row>
    <row r="522" spans="16:17" x14ac:dyDescent="0.3">
      <c r="P522" s="240">
        <v>45209</v>
      </c>
      <c r="Q522">
        <v>6946.4560546875</v>
      </c>
    </row>
    <row r="523" spans="16:17" x14ac:dyDescent="0.3">
      <c r="P523" s="240">
        <v>45210</v>
      </c>
      <c r="Q523">
        <v>6907.521484375</v>
      </c>
    </row>
    <row r="524" spans="16:17" x14ac:dyDescent="0.3">
      <c r="P524" s="240">
        <v>45211</v>
      </c>
      <c r="Q524">
        <v>6839.80322265625</v>
      </c>
    </row>
    <row r="525" spans="16:17" x14ac:dyDescent="0.3">
      <c r="P525" s="240">
        <v>45212</v>
      </c>
      <c r="Q525">
        <v>6920.451171875</v>
      </c>
    </row>
    <row r="526" spans="16:17" x14ac:dyDescent="0.3">
      <c r="P526" s="240">
        <v>45215</v>
      </c>
      <c r="Q526">
        <v>7029.64208984375</v>
      </c>
    </row>
    <row r="527" spans="16:17" x14ac:dyDescent="0.3">
      <c r="P527" s="240">
        <v>45216</v>
      </c>
      <c r="Q527">
        <v>7033.80908203125</v>
      </c>
    </row>
    <row r="528" spans="16:17" x14ac:dyDescent="0.3">
      <c r="P528" s="240">
        <v>45217</v>
      </c>
      <c r="Q528">
        <v>6997.31640625</v>
      </c>
    </row>
    <row r="529" spans="16:17" x14ac:dyDescent="0.3">
      <c r="P529" s="240">
        <v>45218</v>
      </c>
      <c r="Q529">
        <v>6906.7548828125</v>
      </c>
    </row>
    <row r="530" spans="16:17" x14ac:dyDescent="0.3">
      <c r="P530" s="240">
        <v>45219</v>
      </c>
      <c r="Q530">
        <v>6892.72216796875</v>
      </c>
    </row>
    <row r="531" spans="16:17" x14ac:dyDescent="0.3">
      <c r="P531" s="240">
        <v>45222</v>
      </c>
      <c r="Q531">
        <v>6802.5927734375</v>
      </c>
    </row>
    <row r="532" spans="16:17" x14ac:dyDescent="0.3">
      <c r="P532" s="240">
        <v>45224</v>
      </c>
      <c r="Q532">
        <v>6637.9443359375</v>
      </c>
    </row>
    <row r="533" spans="16:17" x14ac:dyDescent="0.3">
      <c r="P533" s="240">
        <v>45225</v>
      </c>
      <c r="Q533">
        <v>6665.14599609375</v>
      </c>
    </row>
    <row r="534" spans="16:17" x14ac:dyDescent="0.3">
      <c r="P534" s="240">
        <v>45226</v>
      </c>
      <c r="Q534">
        <v>6785.3515625</v>
      </c>
    </row>
    <row r="535" spans="16:17" x14ac:dyDescent="0.3">
      <c r="P535" s="240">
        <v>45229</v>
      </c>
      <c r="Q535">
        <v>6801.8740234375</v>
      </c>
    </row>
    <row r="536" spans="16:17" x14ac:dyDescent="0.3">
      <c r="P536" s="240">
        <v>45230</v>
      </c>
      <c r="Q536">
        <v>6657.435546875</v>
      </c>
    </row>
    <row r="537" spans="16:17" x14ac:dyDescent="0.3">
      <c r="P537" s="240">
        <v>45231</v>
      </c>
      <c r="Q537">
        <v>6590.6279296875</v>
      </c>
    </row>
    <row r="538" spans="16:17" x14ac:dyDescent="0.3">
      <c r="P538" s="240">
        <v>45232</v>
      </c>
      <c r="Q538">
        <v>6575.78173828125</v>
      </c>
    </row>
    <row r="539" spans="16:17" x14ac:dyDescent="0.3">
      <c r="P539" s="240">
        <v>45233</v>
      </c>
      <c r="Q539">
        <v>6738.1796875</v>
      </c>
    </row>
    <row r="540" spans="16:17" x14ac:dyDescent="0.3">
      <c r="P540" s="240">
        <v>45236</v>
      </c>
      <c r="Q540">
        <v>6700.345703125</v>
      </c>
    </row>
    <row r="541" spans="16:17" x14ac:dyDescent="0.3">
      <c r="P541" s="240">
        <v>45237</v>
      </c>
      <c r="Q541">
        <v>6864.94580078125</v>
      </c>
    </row>
    <row r="542" spans="16:17" x14ac:dyDescent="0.3">
      <c r="P542" s="240">
        <v>45238</v>
      </c>
      <c r="Q542">
        <v>7013.88623046875</v>
      </c>
    </row>
    <row r="543" spans="16:17" x14ac:dyDescent="0.3">
      <c r="P543" s="240">
        <v>45239</v>
      </c>
      <c r="Q543">
        <v>7064.36328125</v>
      </c>
    </row>
    <row r="544" spans="16:17" x14ac:dyDescent="0.3">
      <c r="P544" s="240">
        <v>45240</v>
      </c>
      <c r="Q544">
        <v>6984.1455078125</v>
      </c>
    </row>
    <row r="545" spans="16:17" x14ac:dyDescent="0.3">
      <c r="P545" s="240">
        <v>45243</v>
      </c>
      <c r="Q545">
        <v>6914.5126953125</v>
      </c>
    </row>
    <row r="546" spans="16:17" x14ac:dyDescent="0.3">
      <c r="P546" s="240">
        <v>45245</v>
      </c>
      <c r="Q546">
        <v>6936.302734375</v>
      </c>
    </row>
    <row r="547" spans="16:17" x14ac:dyDescent="0.3">
      <c r="P547" s="240">
        <v>45246</v>
      </c>
      <c r="Q547">
        <v>6965.7080078125</v>
      </c>
    </row>
    <row r="548" spans="16:17" x14ac:dyDescent="0.3">
      <c r="P548" s="240">
        <v>45247</v>
      </c>
      <c r="Q548">
        <v>7015.70654296875</v>
      </c>
    </row>
    <row r="549" spans="16:17" x14ac:dyDescent="0.3">
      <c r="P549" s="240">
        <v>45250</v>
      </c>
      <c r="Q549">
        <v>7013.98193359375</v>
      </c>
    </row>
    <row r="550" spans="16:17" x14ac:dyDescent="0.3">
      <c r="P550" s="240">
        <v>45251</v>
      </c>
      <c r="Q550">
        <v>7001.6259765625</v>
      </c>
    </row>
    <row r="551" spans="16:17" x14ac:dyDescent="0.3">
      <c r="P551" s="240">
        <v>45252</v>
      </c>
      <c r="Q551">
        <v>6977.01025390625</v>
      </c>
    </row>
    <row r="552" spans="16:17" x14ac:dyDescent="0.3">
      <c r="P552" s="240">
        <v>45253</v>
      </c>
      <c r="Q552">
        <v>6896.50634765625</v>
      </c>
    </row>
    <row r="553" spans="16:17" x14ac:dyDescent="0.3">
      <c r="P553" s="240">
        <v>45254</v>
      </c>
      <c r="Q553">
        <v>6963.55322265625</v>
      </c>
    </row>
    <row r="554" spans="16:17" x14ac:dyDescent="0.3">
      <c r="P554" s="240">
        <v>45258</v>
      </c>
      <c r="Q554">
        <v>7085.2431640625</v>
      </c>
    </row>
    <row r="555" spans="16:17" x14ac:dyDescent="0.3">
      <c r="P555" s="240">
        <v>45259</v>
      </c>
      <c r="Q555">
        <v>7079.30517578125</v>
      </c>
    </row>
    <row r="556" spans="16:17" x14ac:dyDescent="0.3">
      <c r="P556" s="240">
        <v>45260</v>
      </c>
      <c r="Q556">
        <v>7131.123046875</v>
      </c>
    </row>
    <row r="557" spans="16:17" x14ac:dyDescent="0.3">
      <c r="P557" s="240">
        <v>45261</v>
      </c>
      <c r="Q557">
        <v>7200.66015625</v>
      </c>
    </row>
    <row r="558" spans="16:17" x14ac:dyDescent="0.3">
      <c r="P558" s="240">
        <v>45264</v>
      </c>
      <c r="Q558">
        <v>7254.39404296875</v>
      </c>
    </row>
    <row r="559" spans="16:17" x14ac:dyDescent="0.3">
      <c r="P559" s="240">
        <v>45265</v>
      </c>
      <c r="Q559">
        <v>7197.93017578125</v>
      </c>
    </row>
    <row r="560" spans="16:17" x14ac:dyDescent="0.3">
      <c r="P560" s="240">
        <v>45266</v>
      </c>
      <c r="Q560">
        <v>7261.7685546875</v>
      </c>
    </row>
    <row r="561" spans="16:17" x14ac:dyDescent="0.3">
      <c r="P561" s="240">
        <v>45267</v>
      </c>
      <c r="Q561">
        <v>7243.71337890625</v>
      </c>
    </row>
    <row r="562" spans="16:17" x14ac:dyDescent="0.3">
      <c r="P562" s="240">
        <v>45268</v>
      </c>
      <c r="Q562">
        <v>7277.62060546875</v>
      </c>
    </row>
    <row r="563" spans="16:17" x14ac:dyDescent="0.3">
      <c r="P563" s="240">
        <v>45271</v>
      </c>
      <c r="Q563">
        <v>7288.49169921875</v>
      </c>
    </row>
    <row r="564" spans="16:17" x14ac:dyDescent="0.3">
      <c r="P564" s="240">
        <v>45272</v>
      </c>
      <c r="Q564">
        <v>7163.927734375</v>
      </c>
    </row>
    <row r="565" spans="16:17" x14ac:dyDescent="0.3">
      <c r="P565" s="240">
        <v>45273</v>
      </c>
      <c r="Q565">
        <v>7205.68896484375</v>
      </c>
    </row>
    <row r="566" spans="16:17" x14ac:dyDescent="0.3">
      <c r="P566" s="240">
        <v>45274</v>
      </c>
      <c r="Q566">
        <v>7241.7978515625</v>
      </c>
    </row>
    <row r="567" spans="16:17" x14ac:dyDescent="0.3">
      <c r="P567" s="240">
        <v>45275</v>
      </c>
      <c r="Q567">
        <v>7162.6826171875</v>
      </c>
    </row>
    <row r="568" spans="16:17" x14ac:dyDescent="0.3">
      <c r="P568" s="240">
        <v>45278</v>
      </c>
      <c r="Q568">
        <v>7159.0908203125</v>
      </c>
    </row>
    <row r="569" spans="16:17" x14ac:dyDescent="0.3">
      <c r="P569" s="240">
        <v>45279</v>
      </c>
      <c r="Q569">
        <v>7131.123046875</v>
      </c>
    </row>
    <row r="570" spans="16:17" x14ac:dyDescent="0.3">
      <c r="P570" s="240">
        <v>45280</v>
      </c>
      <c r="Q570">
        <v>7172.30908203125</v>
      </c>
    </row>
    <row r="571" spans="16:17" x14ac:dyDescent="0.3">
      <c r="P571" s="240">
        <v>45281</v>
      </c>
      <c r="Q571">
        <v>7200.99560546875</v>
      </c>
    </row>
    <row r="572" spans="16:17" x14ac:dyDescent="0.3">
      <c r="P572" s="240">
        <v>45282</v>
      </c>
      <c r="Q572">
        <v>7250.0830078125</v>
      </c>
    </row>
    <row r="573" spans="16:17" x14ac:dyDescent="0.3">
      <c r="P573" s="240">
        <v>45286</v>
      </c>
      <c r="Q573">
        <v>7180.59423828125</v>
      </c>
    </row>
    <row r="574" spans="16:17" x14ac:dyDescent="0.3">
      <c r="P574" s="240">
        <v>45287</v>
      </c>
      <c r="Q574">
        <v>7244.33642578125</v>
      </c>
    </row>
    <row r="575" spans="16:17" x14ac:dyDescent="0.3">
      <c r="P575" s="240">
        <v>45288</v>
      </c>
      <c r="Q575">
        <v>7181.6474609375</v>
      </c>
    </row>
    <row r="576" spans="16:17" x14ac:dyDescent="0.3">
      <c r="P576" s="240">
        <v>45289</v>
      </c>
      <c r="Q576">
        <v>7268.330078125</v>
      </c>
    </row>
    <row r="577" spans="16:17" x14ac:dyDescent="0.3">
      <c r="P577" s="240">
        <v>45292</v>
      </c>
      <c r="Q577">
        <v>7225.32421875</v>
      </c>
    </row>
    <row r="578" spans="16:17" x14ac:dyDescent="0.3">
      <c r="P578" s="240">
        <v>45293</v>
      </c>
      <c r="Q578">
        <v>7167.13623046875</v>
      </c>
    </row>
    <row r="579" spans="16:17" x14ac:dyDescent="0.3">
      <c r="P579" s="240">
        <v>45294</v>
      </c>
      <c r="Q579">
        <v>7114.45654296875</v>
      </c>
    </row>
    <row r="580" spans="16:17" x14ac:dyDescent="0.3">
      <c r="P580" s="240">
        <v>45295</v>
      </c>
      <c r="Q580">
        <v>7228.48486328125</v>
      </c>
    </row>
    <row r="581" spans="16:17" x14ac:dyDescent="0.3">
      <c r="P581" s="240">
        <v>45296</v>
      </c>
      <c r="Q581">
        <v>7202.86328125</v>
      </c>
    </row>
    <row r="582" spans="16:17" x14ac:dyDescent="0.3">
      <c r="P582" s="240">
        <v>45299</v>
      </c>
      <c r="Q582">
        <v>7203.7734375</v>
      </c>
    </row>
    <row r="583" spans="16:17" x14ac:dyDescent="0.3">
      <c r="P583" s="240">
        <v>45300</v>
      </c>
      <c r="Q583">
        <v>7127.38720703125</v>
      </c>
    </row>
    <row r="584" spans="16:17" x14ac:dyDescent="0.3">
      <c r="P584" s="240">
        <v>45301</v>
      </c>
      <c r="Q584">
        <v>7180.59423828125</v>
      </c>
    </row>
    <row r="585" spans="16:17" x14ac:dyDescent="0.3">
      <c r="P585" s="240">
        <v>45302</v>
      </c>
      <c r="Q585">
        <v>7265.3603515625</v>
      </c>
    </row>
    <row r="586" spans="16:17" x14ac:dyDescent="0.3">
      <c r="P586" s="240">
        <v>45303</v>
      </c>
      <c r="Q586">
        <v>7184.2333984375</v>
      </c>
    </row>
    <row r="587" spans="16:17" x14ac:dyDescent="0.3">
      <c r="P587" s="240">
        <v>45306</v>
      </c>
      <c r="Q587">
        <v>7193.189453125</v>
      </c>
    </row>
    <row r="588" spans="16:17" x14ac:dyDescent="0.3">
      <c r="P588" s="240">
        <v>45307</v>
      </c>
      <c r="Q588">
        <v>7203.7734375</v>
      </c>
    </row>
    <row r="589" spans="16:17" x14ac:dyDescent="0.3">
      <c r="P589" s="240">
        <v>45308</v>
      </c>
      <c r="Q589">
        <v>7236.865234375</v>
      </c>
    </row>
    <row r="590" spans="16:17" x14ac:dyDescent="0.3">
      <c r="P590" s="240">
        <v>45309</v>
      </c>
      <c r="Q590">
        <v>7212.919921875</v>
      </c>
    </row>
    <row r="591" spans="16:17" x14ac:dyDescent="0.3">
      <c r="P591" s="240">
        <v>45310</v>
      </c>
      <c r="Q591">
        <v>7220.05615234375</v>
      </c>
    </row>
    <row r="592" spans="16:17" x14ac:dyDescent="0.3">
      <c r="P592" s="240">
        <v>45314</v>
      </c>
      <c r="Q592">
        <v>7166.2744140625</v>
      </c>
    </row>
    <row r="593" spans="16:17" x14ac:dyDescent="0.3">
      <c r="P593" s="240">
        <v>45315</v>
      </c>
      <c r="Q593">
        <v>7099.6103515625</v>
      </c>
    </row>
    <row r="594" spans="16:17" x14ac:dyDescent="0.3">
      <c r="P594" s="240">
        <v>45316</v>
      </c>
      <c r="Q594">
        <v>6996.40625</v>
      </c>
    </row>
    <row r="595" spans="16:17" x14ac:dyDescent="0.3">
      <c r="P595" s="240">
        <v>45320</v>
      </c>
      <c r="Q595">
        <v>6976.48388671875</v>
      </c>
    </row>
    <row r="596" spans="16:17" x14ac:dyDescent="0.3">
      <c r="P596" s="240">
        <v>45321</v>
      </c>
      <c r="Q596">
        <v>6967.048828125</v>
      </c>
    </row>
    <row r="597" spans="16:17" x14ac:dyDescent="0.3">
      <c r="P597" s="240">
        <v>45322</v>
      </c>
      <c r="Q597">
        <v>7181.4560546875</v>
      </c>
    </row>
    <row r="598" spans="16:17" x14ac:dyDescent="0.3">
      <c r="P598" s="240">
        <v>45323</v>
      </c>
      <c r="Q598">
        <v>7271.29833984375</v>
      </c>
    </row>
    <row r="599" spans="16:17" x14ac:dyDescent="0.3">
      <c r="P599" s="240">
        <v>45324</v>
      </c>
      <c r="Q599">
        <v>7073.126953125</v>
      </c>
    </row>
    <row r="600" spans="16:17" x14ac:dyDescent="0.3">
      <c r="P600" s="240">
        <v>45327</v>
      </c>
      <c r="Q600">
        <v>7126.76416015625</v>
      </c>
    </row>
    <row r="601" spans="16:17" x14ac:dyDescent="0.3">
      <c r="P601" s="240">
        <v>45328</v>
      </c>
      <c r="Q601">
        <v>6904.83935546875</v>
      </c>
    </row>
    <row r="602" spans="16:17" x14ac:dyDescent="0.3">
      <c r="P602" s="240">
        <v>45329</v>
      </c>
      <c r="Q602">
        <v>6913.5546875</v>
      </c>
    </row>
    <row r="603" spans="16:17" x14ac:dyDescent="0.3">
      <c r="P603" s="240">
        <v>45330</v>
      </c>
      <c r="Q603">
        <v>6838.07958984375</v>
      </c>
    </row>
    <row r="604" spans="16:17" x14ac:dyDescent="0.3">
      <c r="P604" s="240">
        <v>45331</v>
      </c>
      <c r="Q604">
        <v>6880.7021484375</v>
      </c>
    </row>
    <row r="605" spans="16:17" x14ac:dyDescent="0.3">
      <c r="P605" s="240">
        <v>45334</v>
      </c>
      <c r="Q605">
        <v>6788.03369140625</v>
      </c>
    </row>
    <row r="606" spans="16:17" x14ac:dyDescent="0.3">
      <c r="P606" s="240">
        <v>45335</v>
      </c>
      <c r="Q606">
        <v>6817.67822265625</v>
      </c>
    </row>
    <row r="607" spans="16:17" x14ac:dyDescent="0.3">
      <c r="P607" s="240">
        <v>45336</v>
      </c>
      <c r="Q607">
        <v>6797.228515625</v>
      </c>
    </row>
    <row r="608" spans="16:17" x14ac:dyDescent="0.3">
      <c r="P608" s="240">
        <v>45337</v>
      </c>
      <c r="Q608">
        <v>6916.09326171875</v>
      </c>
    </row>
    <row r="609" spans="16:17" x14ac:dyDescent="0.3">
      <c r="P609" s="240">
        <v>45338</v>
      </c>
      <c r="Q609">
        <v>6976.9150390625</v>
      </c>
    </row>
    <row r="610" spans="16:17" x14ac:dyDescent="0.3">
      <c r="P610" s="240">
        <v>45341</v>
      </c>
      <c r="Q610">
        <v>6944.97119140625</v>
      </c>
    </row>
    <row r="611" spans="16:17" x14ac:dyDescent="0.3">
      <c r="P611" s="240">
        <v>45342</v>
      </c>
      <c r="Q611">
        <v>6867.9150390625</v>
      </c>
    </row>
    <row r="612" spans="16:17" x14ac:dyDescent="0.3">
      <c r="P612" s="240">
        <v>45343</v>
      </c>
      <c r="Q612">
        <v>6806.615234375</v>
      </c>
    </row>
    <row r="613" spans="16:17" x14ac:dyDescent="0.3">
      <c r="P613" s="240">
        <v>45344</v>
      </c>
      <c r="Q613">
        <v>6720.6513671875</v>
      </c>
    </row>
    <row r="614" spans="16:17" x14ac:dyDescent="0.3">
      <c r="P614" s="240">
        <v>45345</v>
      </c>
      <c r="Q614">
        <v>6825.484375</v>
      </c>
    </row>
    <row r="615" spans="16:17" x14ac:dyDescent="0.3">
      <c r="P615" s="240">
        <v>45348</v>
      </c>
      <c r="Q615">
        <v>6750.6787109375</v>
      </c>
    </row>
    <row r="616" spans="16:17" x14ac:dyDescent="0.3">
      <c r="P616" s="240">
        <v>45349</v>
      </c>
      <c r="Q616">
        <v>6704.99072265625</v>
      </c>
    </row>
    <row r="617" spans="16:17" x14ac:dyDescent="0.3">
      <c r="P617" s="240">
        <v>45350</v>
      </c>
      <c r="Q617">
        <v>6613.2802734375</v>
      </c>
    </row>
    <row r="618" spans="16:17" x14ac:dyDescent="0.3">
      <c r="P618" s="240">
        <v>45351</v>
      </c>
      <c r="Q618">
        <v>6604.70751953125</v>
      </c>
    </row>
    <row r="619" spans="16:17" x14ac:dyDescent="0.3">
      <c r="P619" s="240">
        <v>45352</v>
      </c>
      <c r="Q619">
        <v>6474.87548828125</v>
      </c>
    </row>
    <row r="620" spans="16:17" x14ac:dyDescent="0.3">
      <c r="P620" s="240">
        <v>45355</v>
      </c>
      <c r="Q620">
        <v>6510.1240234375</v>
      </c>
    </row>
    <row r="621" spans="16:17" x14ac:dyDescent="0.3">
      <c r="P621" s="240">
        <v>45356</v>
      </c>
      <c r="Q621">
        <v>6506.53173828125</v>
      </c>
    </row>
    <row r="622" spans="16:17" x14ac:dyDescent="0.3">
      <c r="P622" s="240">
        <v>45357</v>
      </c>
      <c r="Q622">
        <v>6118.568359375</v>
      </c>
    </row>
    <row r="623" spans="16:17" x14ac:dyDescent="0.3">
      <c r="P623" s="240">
        <v>45358</v>
      </c>
      <c r="Q623">
        <v>6177.95361328125</v>
      </c>
    </row>
    <row r="624" spans="16:17" x14ac:dyDescent="0.3">
      <c r="P624" s="240">
        <v>45362</v>
      </c>
      <c r="Q624">
        <v>6041.369140625</v>
      </c>
    </row>
    <row r="625" spans="16:17" x14ac:dyDescent="0.3">
      <c r="P625" s="240">
        <v>45363</v>
      </c>
      <c r="Q625">
        <v>6043.8115234375</v>
      </c>
    </row>
    <row r="626" spans="16:17" x14ac:dyDescent="0.3">
      <c r="P626" s="240">
        <v>45364</v>
      </c>
      <c r="Q626">
        <v>6000.85400390625</v>
      </c>
    </row>
    <row r="627" spans="16:17" x14ac:dyDescent="0.3">
      <c r="P627" s="240">
        <v>45365</v>
      </c>
      <c r="Q627">
        <v>6011.341796875</v>
      </c>
    </row>
    <row r="628" spans="16:17" x14ac:dyDescent="0.3">
      <c r="P628" s="240">
        <v>45369</v>
      </c>
      <c r="Q628">
        <v>5891.66259765625</v>
      </c>
    </row>
    <row r="629" spans="16:17" x14ac:dyDescent="0.3">
      <c r="P629" s="240">
        <v>45370</v>
      </c>
      <c r="Q629">
        <v>5841.42529296875</v>
      </c>
    </row>
    <row r="630" spans="16:17" x14ac:dyDescent="0.3">
      <c r="P630" s="240">
        <v>45371</v>
      </c>
      <c r="Q630">
        <v>5865.322265625</v>
      </c>
    </row>
    <row r="631" spans="16:17" x14ac:dyDescent="0.3">
      <c r="P631" s="240">
        <v>45372</v>
      </c>
      <c r="Q631">
        <v>5875.90673828125</v>
      </c>
    </row>
    <row r="632" spans="16:17" x14ac:dyDescent="0.3">
      <c r="P632" s="240">
        <v>45373</v>
      </c>
      <c r="Q632">
        <v>5843.81982421875</v>
      </c>
    </row>
    <row r="633" spans="16:17" x14ac:dyDescent="0.3">
      <c r="P633" s="240">
        <v>45377</v>
      </c>
      <c r="Q633">
        <v>5822.26904296875</v>
      </c>
    </row>
    <row r="634" spans="16:17" x14ac:dyDescent="0.3">
      <c r="P634" s="240">
        <v>45378</v>
      </c>
      <c r="Q634">
        <v>5816.138671875</v>
      </c>
    </row>
    <row r="635" spans="16:17" x14ac:dyDescent="0.3">
      <c r="P635" s="240">
        <v>45379</v>
      </c>
      <c r="Q635">
        <v>5813.26513671875</v>
      </c>
    </row>
    <row r="636" spans="16:17" x14ac:dyDescent="0.3">
      <c r="P636" s="240">
        <v>45383</v>
      </c>
      <c r="Q636">
        <v>5857.3251953125</v>
      </c>
    </row>
    <row r="637" spans="16:17" x14ac:dyDescent="0.3">
      <c r="P637" s="240">
        <v>45384</v>
      </c>
      <c r="Q637">
        <v>5877.630859375</v>
      </c>
    </row>
    <row r="638" spans="16:17" x14ac:dyDescent="0.3">
      <c r="P638" s="240">
        <v>45385</v>
      </c>
      <c r="Q638">
        <v>6027.81591796875</v>
      </c>
    </row>
    <row r="639" spans="16:17" x14ac:dyDescent="0.3">
      <c r="P639" s="240">
        <v>45386</v>
      </c>
      <c r="Q639">
        <v>5904.0185546875</v>
      </c>
    </row>
    <row r="640" spans="16:17" x14ac:dyDescent="0.3">
      <c r="P640" s="240">
        <v>45387</v>
      </c>
      <c r="Q640">
        <v>6025.27734375</v>
      </c>
    </row>
    <row r="641" spans="16:17" x14ac:dyDescent="0.3">
      <c r="P641" s="240">
        <v>45390</v>
      </c>
      <c r="Q641">
        <v>6113.7314453125</v>
      </c>
    </row>
    <row r="642" spans="16:17" x14ac:dyDescent="0.3">
      <c r="P642" s="240">
        <v>45391</v>
      </c>
      <c r="Q642">
        <v>6027.1455078125</v>
      </c>
    </row>
    <row r="643" spans="16:17" x14ac:dyDescent="0.3">
      <c r="P643" s="240">
        <v>45392</v>
      </c>
      <c r="Q643">
        <v>6036.14892578125</v>
      </c>
    </row>
    <row r="644" spans="16:17" x14ac:dyDescent="0.3">
      <c r="P644" s="240">
        <v>45394</v>
      </c>
      <c r="Q644">
        <v>6043.28466796875</v>
      </c>
    </row>
    <row r="645" spans="16:17" x14ac:dyDescent="0.3">
      <c r="P645" s="240">
        <v>45397</v>
      </c>
      <c r="Q645">
        <v>5888.119140625</v>
      </c>
    </row>
    <row r="646" spans="16:17" x14ac:dyDescent="0.3">
      <c r="P646" s="240">
        <v>45398</v>
      </c>
      <c r="Q646">
        <v>6098.4072265625</v>
      </c>
    </row>
    <row r="647" spans="16:17" x14ac:dyDescent="0.3">
      <c r="P647" s="240">
        <v>45400</v>
      </c>
      <c r="Q647">
        <v>6085.859375</v>
      </c>
    </row>
    <row r="648" spans="16:17" x14ac:dyDescent="0.3">
      <c r="P648" s="240">
        <v>45401</v>
      </c>
      <c r="Q648">
        <v>6050.75537109375</v>
      </c>
    </row>
    <row r="649" spans="16:17" x14ac:dyDescent="0.3">
      <c r="P649" s="240">
        <v>45404</v>
      </c>
      <c r="Q649">
        <v>6060.38134765625</v>
      </c>
    </row>
    <row r="650" spans="16:17" x14ac:dyDescent="0.3">
      <c r="P650" s="240">
        <v>45405</v>
      </c>
      <c r="Q650">
        <v>6052.14501953125</v>
      </c>
    </row>
    <row r="651" spans="16:17" x14ac:dyDescent="0.3">
      <c r="P651" s="240">
        <v>45406</v>
      </c>
      <c r="Q651">
        <v>6036.24462890625</v>
      </c>
    </row>
    <row r="652" spans="16:17" x14ac:dyDescent="0.3">
      <c r="P652" s="240">
        <v>45407</v>
      </c>
      <c r="Q652">
        <v>6160.42529296875</v>
      </c>
    </row>
    <row r="653" spans="16:17" x14ac:dyDescent="0.3">
      <c r="P653" s="240">
        <v>45408</v>
      </c>
      <c r="Q653">
        <v>6113.10986328125</v>
      </c>
    </row>
    <row r="654" spans="16:17" x14ac:dyDescent="0.3">
      <c r="P654" s="240">
        <v>45411</v>
      </c>
      <c r="Q654">
        <v>6165.357421875</v>
      </c>
    </row>
    <row r="655" spans="16:17" x14ac:dyDescent="0.3">
      <c r="P655" s="240">
        <v>45412</v>
      </c>
      <c r="Q655">
        <v>6225.93994140625</v>
      </c>
    </row>
    <row r="656" spans="16:17" x14ac:dyDescent="0.3">
      <c r="P656" s="240">
        <v>45414</v>
      </c>
      <c r="Q656">
        <v>6104.345703125</v>
      </c>
    </row>
    <row r="657" spans="16:17" x14ac:dyDescent="0.3">
      <c r="P657" s="240">
        <v>45415</v>
      </c>
      <c r="Q657">
        <v>6101.85498046875</v>
      </c>
    </row>
    <row r="658" spans="16:17" x14ac:dyDescent="0.3">
      <c r="P658" s="240">
        <v>45418</v>
      </c>
      <c r="Q658">
        <v>6167.1298828125</v>
      </c>
    </row>
    <row r="659" spans="16:17" x14ac:dyDescent="0.3">
      <c r="P659" s="240">
        <v>45419</v>
      </c>
      <c r="Q659">
        <v>6227.61572265625</v>
      </c>
    </row>
    <row r="660" spans="16:17" x14ac:dyDescent="0.3">
      <c r="P660" s="240">
        <v>45420</v>
      </c>
      <c r="Q660">
        <v>6179.4384765625</v>
      </c>
    </row>
    <row r="661" spans="16:17" x14ac:dyDescent="0.3">
      <c r="P661" s="240">
        <v>45421</v>
      </c>
      <c r="Q661">
        <v>6125.5615234375</v>
      </c>
    </row>
    <row r="662" spans="16:17" x14ac:dyDescent="0.3">
      <c r="P662" s="240">
        <v>45422</v>
      </c>
      <c r="Q662">
        <v>6172.01513671875</v>
      </c>
    </row>
    <row r="663" spans="16:17" x14ac:dyDescent="0.3">
      <c r="P663" s="240">
        <v>45425</v>
      </c>
      <c r="Q663">
        <v>5982.4150390625</v>
      </c>
    </row>
    <row r="664" spans="16:17" x14ac:dyDescent="0.3">
      <c r="P664" s="240">
        <v>45426</v>
      </c>
      <c r="Q664">
        <v>6059.4716796875</v>
      </c>
    </row>
    <row r="665" spans="16:17" x14ac:dyDescent="0.3">
      <c r="P665" s="240">
        <v>45427</v>
      </c>
      <c r="Q665">
        <v>6066.2724609375</v>
      </c>
    </row>
    <row r="666" spans="16:17" x14ac:dyDescent="0.3">
      <c r="P666" s="240">
        <v>45428</v>
      </c>
      <c r="Q666">
        <v>6133.462890625</v>
      </c>
    </row>
    <row r="667" spans="16:17" x14ac:dyDescent="0.3">
      <c r="P667" s="240">
        <v>45429</v>
      </c>
      <c r="Q667">
        <v>6074.3662109375</v>
      </c>
    </row>
    <row r="668" spans="16:17" x14ac:dyDescent="0.3">
      <c r="P668" s="240">
        <v>45433</v>
      </c>
      <c r="Q668">
        <v>6138.49169921875</v>
      </c>
    </row>
    <row r="669" spans="16:17" x14ac:dyDescent="0.3">
      <c r="P669" s="240">
        <v>45434</v>
      </c>
      <c r="Q669">
        <v>6141.89111328125</v>
      </c>
    </row>
    <row r="670" spans="16:17" x14ac:dyDescent="0.3">
      <c r="P670" s="240">
        <v>45435</v>
      </c>
      <c r="Q670">
        <v>6101.232421875</v>
      </c>
    </row>
    <row r="671" spans="16:17" x14ac:dyDescent="0.3">
      <c r="P671" s="240">
        <v>45436</v>
      </c>
      <c r="Q671">
        <v>6068.283203125</v>
      </c>
    </row>
    <row r="672" spans="16:17" x14ac:dyDescent="0.3">
      <c r="P672" s="240">
        <v>45439</v>
      </c>
      <c r="Q672">
        <v>6064.78759765625</v>
      </c>
    </row>
    <row r="673" spans="16:17" x14ac:dyDescent="0.3">
      <c r="P673" s="240">
        <v>45440</v>
      </c>
      <c r="Q673">
        <v>6043.859375</v>
      </c>
    </row>
    <row r="674" spans="16:17" x14ac:dyDescent="0.3">
      <c r="P674" s="240">
        <v>45441</v>
      </c>
      <c r="Q674">
        <v>7241.60693359375</v>
      </c>
    </row>
    <row r="675" spans="16:17" x14ac:dyDescent="0.3">
      <c r="P675" s="240">
        <v>45442</v>
      </c>
      <c r="Q675">
        <v>6958.95556640625</v>
      </c>
    </row>
    <row r="676" spans="16:17" x14ac:dyDescent="0.3">
      <c r="P676" s="240">
        <v>45443</v>
      </c>
      <c r="Q676">
        <v>6974.80712890625</v>
      </c>
    </row>
    <row r="677" spans="16:17" x14ac:dyDescent="0.3">
      <c r="P677" s="240">
        <v>45446</v>
      </c>
      <c r="Q677">
        <v>6772.42138671875</v>
      </c>
    </row>
    <row r="678" spans="16:17" x14ac:dyDescent="0.3">
      <c r="P678" s="240">
        <v>45447</v>
      </c>
      <c r="Q678">
        <v>6631.3828125</v>
      </c>
    </row>
    <row r="679" spans="16:17" x14ac:dyDescent="0.3">
      <c r="P679" s="240">
        <v>45448</v>
      </c>
      <c r="Q679">
        <v>6776.4921875</v>
      </c>
    </row>
    <row r="680" spans="16:17" x14ac:dyDescent="0.3">
      <c r="P680" s="240">
        <v>45449</v>
      </c>
      <c r="Q680">
        <v>6793.25341796875</v>
      </c>
    </row>
    <row r="681" spans="16:17" x14ac:dyDescent="0.3">
      <c r="P681" s="240">
        <v>45450</v>
      </c>
      <c r="Q681">
        <v>6880.845703125</v>
      </c>
    </row>
    <row r="682" spans="16:17" x14ac:dyDescent="0.3">
      <c r="P682" s="240">
        <v>45453</v>
      </c>
      <c r="Q682">
        <v>7045.68603515625</v>
      </c>
    </row>
    <row r="683" spans="16:17" x14ac:dyDescent="0.3">
      <c r="P683" s="240">
        <v>45454</v>
      </c>
      <c r="Q683">
        <v>7091.0859375</v>
      </c>
    </row>
    <row r="684" spans="16:17" x14ac:dyDescent="0.3">
      <c r="P684" s="240">
        <v>45455</v>
      </c>
      <c r="Q684">
        <v>7394.37841796875</v>
      </c>
    </row>
    <row r="685" spans="16:17" x14ac:dyDescent="0.3">
      <c r="P685" s="240">
        <v>45456</v>
      </c>
      <c r="Q685">
        <v>7831.81201171875</v>
      </c>
    </row>
    <row r="686" spans="16:17" x14ac:dyDescent="0.3">
      <c r="P686" s="240">
        <v>45457</v>
      </c>
      <c r="Q686">
        <v>7837.84619140625</v>
      </c>
    </row>
    <row r="687" spans="16:17" x14ac:dyDescent="0.3">
      <c r="P687" s="240">
        <v>45461</v>
      </c>
      <c r="Q687">
        <v>7630.04833984375</v>
      </c>
    </row>
    <row r="688" spans="16:17" x14ac:dyDescent="0.3">
      <c r="P688" s="240">
        <v>45462</v>
      </c>
      <c r="Q688">
        <v>7705.28466796875</v>
      </c>
    </row>
    <row r="689" spans="16:17" x14ac:dyDescent="0.3">
      <c r="P689" s="240">
        <v>45463</v>
      </c>
      <c r="Q689">
        <v>7552.94482421875</v>
      </c>
    </row>
    <row r="690" spans="16:17" x14ac:dyDescent="0.3">
      <c r="P690" s="240">
        <v>45464</v>
      </c>
      <c r="Q690">
        <v>7492.45849609375</v>
      </c>
    </row>
    <row r="691" spans="16:17" x14ac:dyDescent="0.3">
      <c r="P691" s="240">
        <v>45467</v>
      </c>
      <c r="Q691">
        <v>7584.21728515625</v>
      </c>
    </row>
    <row r="692" spans="16:17" x14ac:dyDescent="0.3">
      <c r="P692" s="240">
        <v>45468</v>
      </c>
      <c r="Q692">
        <v>7736.36572265625</v>
      </c>
    </row>
    <row r="693" spans="16:17" x14ac:dyDescent="0.3">
      <c r="P693" s="240">
        <v>45469</v>
      </c>
      <c r="Q693">
        <v>7784.3525390625</v>
      </c>
    </row>
    <row r="694" spans="16:17" x14ac:dyDescent="0.3">
      <c r="P694" s="240">
        <v>45470</v>
      </c>
      <c r="Q694">
        <v>7605.24169921875</v>
      </c>
    </row>
    <row r="695" spans="16:17" x14ac:dyDescent="0.3">
      <c r="P695" s="240">
        <v>45471</v>
      </c>
      <c r="Q695">
        <v>7543.94140625</v>
      </c>
    </row>
    <row r="696" spans="16:17" x14ac:dyDescent="0.3">
      <c r="P696" s="240">
        <v>45474</v>
      </c>
      <c r="Q696">
        <v>7530.626953125</v>
      </c>
    </row>
    <row r="697" spans="16:17" x14ac:dyDescent="0.3">
      <c r="P697" s="240">
        <v>45475</v>
      </c>
      <c r="Q697">
        <v>7356.017578125</v>
      </c>
    </row>
    <row r="698" spans="16:17" x14ac:dyDescent="0.3">
      <c r="P698" s="240">
        <v>45476</v>
      </c>
      <c r="Q698">
        <v>7390.451171875</v>
      </c>
    </row>
    <row r="699" spans="16:17" x14ac:dyDescent="0.3">
      <c r="P699" s="240">
        <v>45477</v>
      </c>
      <c r="Q699">
        <v>7411.6669921875</v>
      </c>
    </row>
    <row r="700" spans="16:17" x14ac:dyDescent="0.3">
      <c r="P700" s="240">
        <v>45478</v>
      </c>
      <c r="Q700">
        <v>7525.59814453125</v>
      </c>
    </row>
    <row r="701" spans="16:17" x14ac:dyDescent="0.3">
      <c r="P701" s="240">
        <v>45481</v>
      </c>
      <c r="Q701">
        <v>7516.40380859375</v>
      </c>
    </row>
    <row r="702" spans="16:17" x14ac:dyDescent="0.3">
      <c r="P702" s="240">
        <v>45482</v>
      </c>
      <c r="Q702">
        <v>7566.498046875</v>
      </c>
    </row>
    <row r="703" spans="16:17" x14ac:dyDescent="0.3">
      <c r="P703" s="240">
        <v>45483</v>
      </c>
      <c r="Q703">
        <v>7572.67529296875</v>
      </c>
    </row>
    <row r="704" spans="16:17" x14ac:dyDescent="0.3">
      <c r="P704" s="240">
        <v>45484</v>
      </c>
      <c r="Q704">
        <v>7820.74951171875</v>
      </c>
    </row>
    <row r="705" spans="16:17" x14ac:dyDescent="0.3">
      <c r="P705" s="240">
        <v>45485</v>
      </c>
      <c r="Q705">
        <v>7818.49853515625</v>
      </c>
    </row>
    <row r="706" spans="16:17" x14ac:dyDescent="0.3">
      <c r="P706" s="240">
        <v>45488</v>
      </c>
      <c r="Q706">
        <v>8152.009765625</v>
      </c>
    </row>
    <row r="707" spans="16:17" x14ac:dyDescent="0.3">
      <c r="P707" s="240">
        <v>45489</v>
      </c>
      <c r="Q707">
        <v>8226.9111328125</v>
      </c>
    </row>
    <row r="708" spans="16:17" x14ac:dyDescent="0.3">
      <c r="P708" s="240">
        <v>45491</v>
      </c>
      <c r="Q708">
        <v>8207.3232421875</v>
      </c>
    </row>
    <row r="709" spans="16:17" x14ac:dyDescent="0.3">
      <c r="P709" s="240">
        <v>45492</v>
      </c>
      <c r="Q709">
        <v>8197.41015625</v>
      </c>
    </row>
    <row r="710" spans="16:17" x14ac:dyDescent="0.3">
      <c r="P710" s="240">
        <v>45495</v>
      </c>
      <c r="Q710">
        <v>7998.08837890625</v>
      </c>
    </row>
    <row r="711" spans="16:17" x14ac:dyDescent="0.3">
      <c r="P711" s="240">
        <v>45496</v>
      </c>
      <c r="Q711">
        <v>8274.7529296875</v>
      </c>
    </row>
    <row r="712" spans="16:17" x14ac:dyDescent="0.3">
      <c r="P712" s="240">
        <v>45497</v>
      </c>
      <c r="Q712">
        <v>8326.7626953125</v>
      </c>
    </row>
    <row r="713" spans="16:17" x14ac:dyDescent="0.3">
      <c r="P713" s="240">
        <v>45498</v>
      </c>
      <c r="Q713">
        <v>8512.1005859375</v>
      </c>
    </row>
    <row r="714" spans="16:17" x14ac:dyDescent="0.3">
      <c r="P714" s="240">
        <v>45499</v>
      </c>
      <c r="Q714">
        <v>8614.107421875</v>
      </c>
    </row>
    <row r="715" spans="16:17" x14ac:dyDescent="0.3">
      <c r="P715" s="240">
        <v>45502</v>
      </c>
      <c r="Q715">
        <v>8459.609375</v>
      </c>
    </row>
    <row r="716" spans="16:17" x14ac:dyDescent="0.3">
      <c r="P716" s="240">
        <v>45503</v>
      </c>
      <c r="Q716">
        <v>8554.794921875</v>
      </c>
    </row>
    <row r="717" spans="16:17" x14ac:dyDescent="0.3">
      <c r="P717" s="240">
        <v>45504</v>
      </c>
      <c r="Q717">
        <v>8359.427734375</v>
      </c>
    </row>
    <row r="718" spans="16:17" x14ac:dyDescent="0.3">
      <c r="P718" s="240">
        <v>45505</v>
      </c>
      <c r="Q718">
        <v>8492.9560546875</v>
      </c>
    </row>
    <row r="719" spans="16:17" x14ac:dyDescent="0.3">
      <c r="P719" s="240">
        <v>45506</v>
      </c>
      <c r="Q719">
        <v>8166.68017578125</v>
      </c>
    </row>
    <row r="720" spans="16:17" x14ac:dyDescent="0.3">
      <c r="P720" s="240">
        <v>45509</v>
      </c>
      <c r="Q720">
        <v>8242.5947265625</v>
      </c>
    </row>
    <row r="721" spans="16:17" x14ac:dyDescent="0.3">
      <c r="P721" s="240">
        <v>45510</v>
      </c>
      <c r="Q721">
        <v>8342.3896484375</v>
      </c>
    </row>
    <row r="722" spans="16:17" x14ac:dyDescent="0.3">
      <c r="P722" s="240">
        <v>45511</v>
      </c>
      <c r="Q722">
        <v>8346.8544921875</v>
      </c>
    </row>
    <row r="723" spans="16:17" x14ac:dyDescent="0.3">
      <c r="P723" s="240">
        <v>45512</v>
      </c>
      <c r="Q723">
        <v>8208.47265625</v>
      </c>
    </row>
    <row r="724" spans="16:17" x14ac:dyDescent="0.3">
      <c r="P724" s="240">
        <v>45513</v>
      </c>
      <c r="Q724">
        <v>8446.7470703125</v>
      </c>
    </row>
    <row r="725" spans="16:17" x14ac:dyDescent="0.3">
      <c r="P725" s="240">
        <v>45516</v>
      </c>
      <c r="Q725">
        <v>8343.6025390625</v>
      </c>
    </row>
    <row r="726" spans="16:17" x14ac:dyDescent="0.3">
      <c r="P726" s="240">
        <v>45517</v>
      </c>
      <c r="Q726">
        <v>8159.39990234375</v>
      </c>
    </row>
    <row r="727" spans="16:17" x14ac:dyDescent="0.3">
      <c r="P727" s="240">
        <v>45518</v>
      </c>
      <c r="Q727">
        <v>8066.2548828125</v>
      </c>
    </row>
    <row r="728" spans="16:17" x14ac:dyDescent="0.3">
      <c r="P728" s="240">
        <v>45520</v>
      </c>
      <c r="Q728">
        <v>8329.1396484375</v>
      </c>
    </row>
    <row r="729" spans="16:17" x14ac:dyDescent="0.3">
      <c r="P729" s="240">
        <v>45523</v>
      </c>
      <c r="Q729">
        <v>8322.73046875</v>
      </c>
    </row>
    <row r="730" spans="16:17" x14ac:dyDescent="0.3">
      <c r="P730" s="240">
        <v>45524</v>
      </c>
      <c r="Q730">
        <v>8300.5498046875</v>
      </c>
    </row>
    <row r="731" spans="16:17" x14ac:dyDescent="0.3">
      <c r="P731" s="240">
        <v>45525</v>
      </c>
      <c r="Q731">
        <v>8312.4892578125</v>
      </c>
    </row>
    <row r="732" spans="16:17" x14ac:dyDescent="0.3">
      <c r="P732" s="240">
        <v>45526</v>
      </c>
      <c r="Q732">
        <v>8468.2978515625</v>
      </c>
    </row>
    <row r="733" spans="16:17" x14ac:dyDescent="0.3">
      <c r="P733" s="240">
        <v>45527</v>
      </c>
      <c r="Q733">
        <v>8430.875</v>
      </c>
    </row>
    <row r="734" spans="16:17" x14ac:dyDescent="0.3">
      <c r="P734" s="240">
        <v>45530</v>
      </c>
      <c r="Q734">
        <v>8477.6181640625</v>
      </c>
    </row>
    <row r="735" spans="16:17" x14ac:dyDescent="0.3">
      <c r="P735" s="240">
        <v>45531</v>
      </c>
      <c r="Q735">
        <v>8271.37890625</v>
      </c>
    </row>
    <row r="736" spans="16:17" x14ac:dyDescent="0.3">
      <c r="P736" s="240">
        <v>45532</v>
      </c>
      <c r="Q736">
        <v>8342.923828125</v>
      </c>
    </row>
    <row r="737" spans="16:17" x14ac:dyDescent="0.3">
      <c r="P737" s="240">
        <v>45533</v>
      </c>
      <c r="Q737">
        <v>8120.27783203125</v>
      </c>
    </row>
    <row r="738" spans="16:17" x14ac:dyDescent="0.3">
      <c r="P738" s="240">
        <v>45534</v>
      </c>
      <c r="Q738">
        <v>8154.302734375</v>
      </c>
    </row>
    <row r="739" spans="16:17" x14ac:dyDescent="0.3">
      <c r="P739" s="240">
        <v>45537</v>
      </c>
      <c r="Q739">
        <v>8344.5732421875</v>
      </c>
    </row>
    <row r="740" spans="16:17" x14ac:dyDescent="0.3">
      <c r="P740" s="240">
        <v>45538</v>
      </c>
      <c r="Q740">
        <v>8246.283203125</v>
      </c>
    </row>
    <row r="741" spans="16:17" x14ac:dyDescent="0.3">
      <c r="P741" s="240">
        <v>45539</v>
      </c>
      <c r="Q741">
        <v>8184.00927734375</v>
      </c>
    </row>
    <row r="742" spans="16:17" x14ac:dyDescent="0.3">
      <c r="P742" s="240">
        <v>45540</v>
      </c>
      <c r="Q742">
        <v>8370.4931640625</v>
      </c>
    </row>
    <row r="743" spans="16:17" x14ac:dyDescent="0.3">
      <c r="P743" s="240">
        <v>45541</v>
      </c>
      <c r="Q743">
        <v>8318.314453125</v>
      </c>
    </row>
    <row r="744" spans="16:17" x14ac:dyDescent="0.3">
      <c r="P744" s="240">
        <v>45544</v>
      </c>
      <c r="Q744">
        <v>8299.8701171875</v>
      </c>
    </row>
    <row r="745" spans="16:17" x14ac:dyDescent="0.3">
      <c r="P745" s="240">
        <v>45545</v>
      </c>
      <c r="Q745">
        <v>8644.541015625</v>
      </c>
    </row>
    <row r="746" spans="16:17" x14ac:dyDescent="0.3">
      <c r="P746" s="240">
        <v>45546</v>
      </c>
      <c r="Q746">
        <v>8643.619140625</v>
      </c>
    </row>
    <row r="747" spans="16:17" x14ac:dyDescent="0.3">
      <c r="P747" s="240">
        <v>45547</v>
      </c>
      <c r="Q747">
        <v>8621.3876953125</v>
      </c>
    </row>
    <row r="748" spans="16:17" x14ac:dyDescent="0.3">
      <c r="P748" s="240">
        <v>45548</v>
      </c>
      <c r="Q748">
        <v>8630.8056640625</v>
      </c>
    </row>
    <row r="749" spans="16:17" x14ac:dyDescent="0.3">
      <c r="P749" s="240">
        <v>45551</v>
      </c>
      <c r="Q749">
        <v>8628.9111328125</v>
      </c>
    </row>
    <row r="750" spans="16:17" x14ac:dyDescent="0.3">
      <c r="P750" s="240">
        <v>45552</v>
      </c>
      <c r="Q750">
        <v>8633.619140625</v>
      </c>
    </row>
    <row r="751" spans="16:17" x14ac:dyDescent="0.3">
      <c r="P751" s="240">
        <v>45553</v>
      </c>
      <c r="Q751">
        <v>8646.2890625</v>
      </c>
    </row>
    <row r="752" spans="16:17" x14ac:dyDescent="0.3">
      <c r="P752" s="240">
        <v>45554</v>
      </c>
      <c r="Q752">
        <v>8509.3134765625</v>
      </c>
    </row>
    <row r="753" spans="16:17" x14ac:dyDescent="0.3">
      <c r="P753" s="240">
        <v>45555</v>
      </c>
      <c r="Q753">
        <v>8634.056640625</v>
      </c>
    </row>
    <row r="754" spans="16:17" x14ac:dyDescent="0.3">
      <c r="P754" s="240">
        <v>45558</v>
      </c>
      <c r="Q754">
        <v>8611.6318359375</v>
      </c>
    </row>
    <row r="755" spans="16:17" x14ac:dyDescent="0.3">
      <c r="P755" s="240">
        <v>45559</v>
      </c>
      <c r="Q755">
        <v>8583.2373046875</v>
      </c>
    </row>
    <row r="756" spans="16:17" x14ac:dyDescent="0.3">
      <c r="P756" s="240">
        <v>45560</v>
      </c>
      <c r="Q756">
        <v>8509.3134765625</v>
      </c>
    </row>
    <row r="757" spans="16:17" x14ac:dyDescent="0.3">
      <c r="P757" s="240">
        <v>45561</v>
      </c>
      <c r="Q757">
        <v>8414.80859375</v>
      </c>
    </row>
    <row r="758" spans="16:17" x14ac:dyDescent="0.3">
      <c r="P758" s="240">
        <v>45562</v>
      </c>
      <c r="Q758">
        <v>8443.6416015625</v>
      </c>
    </row>
    <row r="759" spans="16:17" x14ac:dyDescent="0.3">
      <c r="P759" s="240">
        <v>45565</v>
      </c>
      <c r="Q759">
        <v>8459.076171875</v>
      </c>
    </row>
    <row r="760" spans="16:17" x14ac:dyDescent="0.3">
      <c r="P760" s="240">
        <v>45566</v>
      </c>
      <c r="Q760">
        <v>8471.1142578125</v>
      </c>
    </row>
    <row r="761" spans="16:17" x14ac:dyDescent="0.3">
      <c r="P761" s="240">
        <v>45568</v>
      </c>
      <c r="Q761">
        <v>8535.0869140625</v>
      </c>
    </row>
    <row r="762" spans="16:17" x14ac:dyDescent="0.3">
      <c r="P762" s="240">
        <v>45569</v>
      </c>
      <c r="Q762">
        <v>8397.3349609375</v>
      </c>
    </row>
    <row r="763" spans="16:17" x14ac:dyDescent="0.3">
      <c r="P763" s="240">
        <v>45572</v>
      </c>
      <c r="Q763">
        <v>8297.685546875</v>
      </c>
    </row>
    <row r="764" spans="16:17" x14ac:dyDescent="0.3">
      <c r="P764" s="240">
        <v>45573</v>
      </c>
      <c r="Q764">
        <v>8374.5224609375</v>
      </c>
    </row>
    <row r="765" spans="16:17" x14ac:dyDescent="0.3">
      <c r="P765" s="240">
        <v>45574</v>
      </c>
      <c r="Q765">
        <v>8553.580078125</v>
      </c>
    </row>
    <row r="766" spans="16:17" x14ac:dyDescent="0.3">
      <c r="P766" s="240">
        <v>45575</v>
      </c>
      <c r="Q766">
        <v>8538.82421875</v>
      </c>
    </row>
    <row r="767" spans="16:17" x14ac:dyDescent="0.3">
      <c r="P767" s="240">
        <v>45576</v>
      </c>
      <c r="Q767">
        <v>8540.0869140625</v>
      </c>
    </row>
    <row r="768" spans="16:17" x14ac:dyDescent="0.3">
      <c r="P768" s="240">
        <v>45579</v>
      </c>
      <c r="Q768">
        <v>8475.3837890625</v>
      </c>
    </row>
    <row r="769" spans="16:17" x14ac:dyDescent="0.3">
      <c r="P769" s="240">
        <v>45580</v>
      </c>
      <c r="Q769">
        <v>8448.8349609375</v>
      </c>
    </row>
    <row r="770" spans="16:17" x14ac:dyDescent="0.3">
      <c r="P770" s="240">
        <v>45581</v>
      </c>
      <c r="Q770">
        <v>8431.2138671875</v>
      </c>
    </row>
    <row r="771" spans="16:17" x14ac:dyDescent="0.3">
      <c r="P771" s="240">
        <v>45582</v>
      </c>
      <c r="Q771">
        <v>8343.1171875</v>
      </c>
    </row>
    <row r="772" spans="16:17" x14ac:dyDescent="0.3">
      <c r="P772" s="240">
        <v>45583</v>
      </c>
      <c r="Q772">
        <v>8339.3310546875</v>
      </c>
    </row>
    <row r="773" spans="16:17" x14ac:dyDescent="0.3">
      <c r="P773" s="240">
        <v>45586</v>
      </c>
      <c r="Q773">
        <v>8407.576171875</v>
      </c>
    </row>
    <row r="774" spans="16:17" x14ac:dyDescent="0.3">
      <c r="P774" s="240">
        <v>45587</v>
      </c>
      <c r="Q774">
        <v>8261.427734375</v>
      </c>
    </row>
    <row r="775" spans="16:17" x14ac:dyDescent="0.3">
      <c r="P775" s="240">
        <v>45588</v>
      </c>
      <c r="Q775">
        <v>8278.2216796875</v>
      </c>
    </row>
    <row r="776" spans="16:17" x14ac:dyDescent="0.3">
      <c r="P776" s="240">
        <v>45589</v>
      </c>
      <c r="Q776">
        <v>8227.4990234375</v>
      </c>
    </row>
    <row r="777" spans="16:17" x14ac:dyDescent="0.3">
      <c r="P777" s="240">
        <v>45590</v>
      </c>
      <c r="Q777">
        <v>8203.3759765625</v>
      </c>
    </row>
    <row r="778" spans="16:17" x14ac:dyDescent="0.3">
      <c r="P778" s="240">
        <v>45593</v>
      </c>
      <c r="Q778">
        <v>8345.0595703125</v>
      </c>
    </row>
    <row r="779" spans="16:17" x14ac:dyDescent="0.3">
      <c r="P779" s="240">
        <v>45594</v>
      </c>
      <c r="Q779">
        <v>8262.7861328125</v>
      </c>
    </row>
    <row r="780" spans="16:17" x14ac:dyDescent="0.3">
      <c r="P780" s="240">
        <v>45595</v>
      </c>
      <c r="Q780">
        <v>8303.169921875</v>
      </c>
    </row>
    <row r="781" spans="16:17" x14ac:dyDescent="0.3">
      <c r="P781" s="240">
        <v>45596</v>
      </c>
      <c r="Q781">
        <v>8349.087890625</v>
      </c>
    </row>
    <row r="782" spans="16:17" x14ac:dyDescent="0.3">
      <c r="P782" s="240">
        <v>45597</v>
      </c>
      <c r="Q782">
        <v>8534.9892578125</v>
      </c>
    </row>
    <row r="783" spans="16:17" x14ac:dyDescent="0.3">
      <c r="P783" s="240">
        <v>45600</v>
      </c>
      <c r="Q783">
        <v>8535.6689453125</v>
      </c>
    </row>
    <row r="784" spans="16:17" x14ac:dyDescent="0.3">
      <c r="P784" s="240">
        <v>45601</v>
      </c>
      <c r="Q784">
        <v>8566.296875</v>
      </c>
    </row>
    <row r="785" spans="16:17" x14ac:dyDescent="0.3">
      <c r="P785" s="240">
        <v>45602</v>
      </c>
      <c r="Q785">
        <v>8623.330078125</v>
      </c>
    </row>
    <row r="786" spans="16:17" x14ac:dyDescent="0.3">
      <c r="P786" s="240">
        <v>45603</v>
      </c>
      <c r="Q786">
        <v>8572.7529296875</v>
      </c>
    </row>
    <row r="787" spans="16:17" x14ac:dyDescent="0.3">
      <c r="P787" s="240">
        <v>45604</v>
      </c>
      <c r="Q787">
        <v>8493.3427734375</v>
      </c>
    </row>
    <row r="788" spans="16:17" x14ac:dyDescent="0.3">
      <c r="P788" s="240">
        <v>45607</v>
      </c>
      <c r="Q788">
        <v>8454.0771484375</v>
      </c>
    </row>
    <row r="789" spans="16:17" x14ac:dyDescent="0.3">
      <c r="P789" s="240">
        <v>45608</v>
      </c>
      <c r="Q789">
        <v>8398.306640625</v>
      </c>
    </row>
    <row r="790" spans="16:17" x14ac:dyDescent="0.3">
      <c r="P790" s="240">
        <v>45609</v>
      </c>
      <c r="Q790">
        <v>8246.6240234375</v>
      </c>
    </row>
    <row r="791" spans="16:17" x14ac:dyDescent="0.3">
      <c r="P791" s="240">
        <v>45610</v>
      </c>
      <c r="Q791">
        <v>8202.9873046875</v>
      </c>
    </row>
    <row r="792" spans="16:17" x14ac:dyDescent="0.3">
      <c r="P792" s="240">
        <v>45614</v>
      </c>
      <c r="Q792">
        <v>8222.5</v>
      </c>
    </row>
    <row r="793" spans="16:17" x14ac:dyDescent="0.3">
      <c r="P793" s="240">
        <v>45615</v>
      </c>
      <c r="Q793">
        <v>8229.974609375</v>
      </c>
    </row>
    <row r="794" spans="16:17" x14ac:dyDescent="0.3">
      <c r="P794" s="240">
        <v>45617</v>
      </c>
      <c r="Q794">
        <v>8280.115234375</v>
      </c>
    </row>
    <row r="795" spans="16:17" x14ac:dyDescent="0.3">
      <c r="P795" s="240">
        <v>45618</v>
      </c>
      <c r="Q795">
        <v>8267.30078125</v>
      </c>
    </row>
    <row r="796" spans="16:17" x14ac:dyDescent="0.3">
      <c r="P796" s="240">
        <v>45621</v>
      </c>
      <c r="Q796">
        <v>8247.4970703125</v>
      </c>
    </row>
    <row r="797" spans="16:17" x14ac:dyDescent="0.3">
      <c r="P797" s="240">
        <v>45622</v>
      </c>
      <c r="Q797">
        <v>8227.7900390625</v>
      </c>
    </row>
    <row r="798" spans="16:17" x14ac:dyDescent="0.3">
      <c r="P798" s="240">
        <v>45623</v>
      </c>
      <c r="Q798">
        <v>8060.18798828125</v>
      </c>
    </row>
    <row r="799" spans="16:17" x14ac:dyDescent="0.3">
      <c r="P799" s="240">
        <v>45624</v>
      </c>
      <c r="Q799">
        <v>8250.021484375</v>
      </c>
    </row>
    <row r="800" spans="16:17" x14ac:dyDescent="0.3">
      <c r="P800" s="240">
        <v>45625</v>
      </c>
      <c r="Q800">
        <v>8263.5146484375</v>
      </c>
    </row>
    <row r="801" spans="16:17" x14ac:dyDescent="0.3">
      <c r="P801" s="240">
        <v>45628</v>
      </c>
      <c r="Q801">
        <v>8263.5146484375</v>
      </c>
    </row>
    <row r="802" spans="16:17" x14ac:dyDescent="0.3">
      <c r="P802" s="240">
        <v>45629</v>
      </c>
      <c r="Q802">
        <v>8220.1708984375</v>
      </c>
    </row>
    <row r="803" spans="16:17" x14ac:dyDescent="0.3">
      <c r="P803" s="240">
        <v>45630</v>
      </c>
      <c r="Q803">
        <v>8154.01220703125</v>
      </c>
    </row>
    <row r="804" spans="16:17" x14ac:dyDescent="0.3">
      <c r="P804" s="240">
        <v>45631</v>
      </c>
      <c r="Q804">
        <v>8152.36181640625</v>
      </c>
    </row>
    <row r="805" spans="16:17" x14ac:dyDescent="0.3">
      <c r="P805" s="240">
        <v>45632</v>
      </c>
      <c r="Q805">
        <v>8184.93115234375</v>
      </c>
    </row>
    <row r="806" spans="16:17" x14ac:dyDescent="0.3">
      <c r="P806" s="240">
        <v>45635</v>
      </c>
      <c r="Q806">
        <v>8388.5986328125</v>
      </c>
    </row>
    <row r="807" spans="16:17" x14ac:dyDescent="0.3">
      <c r="P807" s="240">
        <v>45636</v>
      </c>
      <c r="Q807">
        <v>8381.8505859375</v>
      </c>
    </row>
    <row r="808" spans="16:17" x14ac:dyDescent="0.3">
      <c r="P808" s="240">
        <v>45637</v>
      </c>
      <c r="Q808">
        <v>8407.7705078125</v>
      </c>
    </row>
    <row r="809" spans="16:17" x14ac:dyDescent="0.3">
      <c r="P809" s="240">
        <v>45638</v>
      </c>
      <c r="Q809">
        <v>8398.16015625</v>
      </c>
    </row>
    <row r="810" spans="16:17" x14ac:dyDescent="0.3">
      <c r="P810" s="240">
        <v>45639</v>
      </c>
      <c r="Q810">
        <v>8497.615234375</v>
      </c>
    </row>
    <row r="811" spans="16:17" x14ac:dyDescent="0.3">
      <c r="P811" s="240">
        <v>45642</v>
      </c>
      <c r="Q811">
        <v>8667.451171875</v>
      </c>
    </row>
    <row r="812" spans="16:17" x14ac:dyDescent="0.3">
      <c r="P812" s="240">
        <v>45643</v>
      </c>
      <c r="Q812">
        <v>8727.10546875</v>
      </c>
    </row>
    <row r="813" spans="16:17" x14ac:dyDescent="0.3">
      <c r="P813" s="240">
        <v>45644</v>
      </c>
      <c r="Q813">
        <v>8734.2392578125</v>
      </c>
    </row>
    <row r="814" spans="16:17" x14ac:dyDescent="0.3">
      <c r="P814" s="240">
        <v>45645</v>
      </c>
      <c r="Q814">
        <v>8691.33203125</v>
      </c>
    </row>
    <row r="815" spans="16:17" x14ac:dyDescent="0.3">
      <c r="P815" s="240">
        <v>45646</v>
      </c>
      <c r="Q815">
        <v>8690.361328125</v>
      </c>
    </row>
    <row r="816" spans="16:17" x14ac:dyDescent="0.3">
      <c r="P816" s="240">
        <v>45649</v>
      </c>
      <c r="Q816">
        <v>8688.80859375</v>
      </c>
    </row>
    <row r="817" spans="16:17" x14ac:dyDescent="0.3">
      <c r="P817" s="240">
        <v>45650</v>
      </c>
      <c r="Q817">
        <v>8687.44921875</v>
      </c>
    </row>
    <row r="818" spans="16:17" x14ac:dyDescent="0.3">
      <c r="P818" s="240">
        <v>45652</v>
      </c>
      <c r="Q818">
        <v>8785.8369140625</v>
      </c>
    </row>
    <row r="819" spans="16:17" x14ac:dyDescent="0.3">
      <c r="P819" s="240">
        <v>45653</v>
      </c>
      <c r="Q819">
        <v>8797.048828125</v>
      </c>
    </row>
    <row r="820" spans="16:17" x14ac:dyDescent="0.3">
      <c r="P820" s="240">
        <v>45656</v>
      </c>
      <c r="Q820">
        <v>8787.0986328125</v>
      </c>
    </row>
    <row r="821" spans="16:17" x14ac:dyDescent="0.3">
      <c r="P821" s="240">
        <v>45657</v>
      </c>
      <c r="Q821">
        <v>8804.0380859375</v>
      </c>
    </row>
    <row r="822" spans="16:17" x14ac:dyDescent="0.3">
      <c r="P822" s="240">
        <v>45658</v>
      </c>
      <c r="Q822">
        <v>8777.2939453125</v>
      </c>
    </row>
    <row r="823" spans="16:17" x14ac:dyDescent="0.3">
      <c r="P823" s="240">
        <v>45659</v>
      </c>
      <c r="Q823">
        <v>8692.44921875</v>
      </c>
    </row>
    <row r="824" spans="16:17" x14ac:dyDescent="0.3">
      <c r="P824" s="240">
        <v>45660</v>
      </c>
      <c r="Q824">
        <v>8774.9638671875</v>
      </c>
    </row>
    <row r="825" spans="16:17" x14ac:dyDescent="0.3">
      <c r="P825" s="240">
        <v>45663</v>
      </c>
      <c r="Q825">
        <v>8743.1220703125</v>
      </c>
    </row>
    <row r="826" spans="16:17" x14ac:dyDescent="0.3">
      <c r="P826" s="240">
        <v>45664</v>
      </c>
      <c r="Q826">
        <v>8907.9111328125</v>
      </c>
    </row>
    <row r="827" spans="16:17" x14ac:dyDescent="0.3">
      <c r="P827" s="240">
        <v>45665</v>
      </c>
      <c r="Q827">
        <v>8879.466796875</v>
      </c>
    </row>
    <row r="828" spans="16:17" x14ac:dyDescent="0.3">
      <c r="P828" s="240">
        <v>45666</v>
      </c>
      <c r="Q828">
        <v>8799.0380859375</v>
      </c>
    </row>
    <row r="829" spans="16:17" x14ac:dyDescent="0.3">
      <c r="P829" s="240">
        <v>45667</v>
      </c>
      <c r="Q829">
        <v>8667.7900390625</v>
      </c>
    </row>
    <row r="830" spans="16:17" x14ac:dyDescent="0.3">
      <c r="P830" s="240">
        <v>45670</v>
      </c>
      <c r="Q830">
        <v>8282.6865234375</v>
      </c>
    </row>
    <row r="831" spans="16:17" x14ac:dyDescent="0.3">
      <c r="P831" s="240">
        <v>45671</v>
      </c>
      <c r="Q831">
        <v>8442.4765625</v>
      </c>
    </row>
    <row r="832" spans="16:17" x14ac:dyDescent="0.3">
      <c r="P832" s="240">
        <v>45672</v>
      </c>
      <c r="Q832">
        <v>8432.0888671875</v>
      </c>
    </row>
    <row r="833" spans="16:17" x14ac:dyDescent="0.3">
      <c r="P833" s="240">
        <v>45673</v>
      </c>
      <c r="Q833">
        <v>8485.9658203125</v>
      </c>
    </row>
    <row r="834" spans="16:17" x14ac:dyDescent="0.3">
      <c r="P834" s="240">
        <v>45674</v>
      </c>
      <c r="Q834">
        <v>8489.12109375</v>
      </c>
    </row>
    <row r="835" spans="16:17" x14ac:dyDescent="0.3">
      <c r="P835" s="240">
        <v>45677</v>
      </c>
      <c r="Q835">
        <v>8501.0615234375</v>
      </c>
    </row>
    <row r="836" spans="16:17" x14ac:dyDescent="0.3">
      <c r="P836" s="240">
        <v>45678</v>
      </c>
      <c r="Q836">
        <v>8527.078125</v>
      </c>
    </row>
    <row r="837" spans="16:17" x14ac:dyDescent="0.3">
      <c r="P837" s="240">
        <v>45679</v>
      </c>
      <c r="Q837">
        <v>8383.2587890625</v>
      </c>
    </row>
    <row r="838" spans="16:17" x14ac:dyDescent="0.3">
      <c r="P838" s="240">
        <v>45680</v>
      </c>
      <c r="Q838">
        <v>8445.630859375</v>
      </c>
    </row>
    <row r="839" spans="16:17" x14ac:dyDescent="0.3">
      <c r="P839" s="240">
        <v>45681</v>
      </c>
      <c r="Q839">
        <v>8351.078125</v>
      </c>
    </row>
    <row r="840" spans="16:17" x14ac:dyDescent="0.3">
      <c r="P840" s="240">
        <v>45684</v>
      </c>
      <c r="Q840">
        <v>8314.9169921875</v>
      </c>
    </row>
    <row r="841" spans="16:17" x14ac:dyDescent="0.3">
      <c r="P841" s="240">
        <v>45685</v>
      </c>
      <c r="Q841">
        <v>8226.28515625</v>
      </c>
    </row>
    <row r="842" spans="16:17" x14ac:dyDescent="0.3">
      <c r="P842" s="240">
        <v>45686</v>
      </c>
      <c r="Q842">
        <v>8335.158203125</v>
      </c>
    </row>
    <row r="843" spans="16:17" x14ac:dyDescent="0.3">
      <c r="P843" s="240">
        <v>45687</v>
      </c>
      <c r="Q843">
        <v>8311.4228515625</v>
      </c>
    </row>
    <row r="844" spans="16:17" x14ac:dyDescent="0.3">
      <c r="P844" s="240">
        <v>45688</v>
      </c>
      <c r="Q844">
        <v>8119.35595703125</v>
      </c>
    </row>
    <row r="845" spans="16:17" x14ac:dyDescent="0.3">
      <c r="P845" s="240">
        <v>45691</v>
      </c>
      <c r="Q845">
        <v>8348.1171875</v>
      </c>
    </row>
    <row r="846" spans="16:17" x14ac:dyDescent="0.3">
      <c r="P846" s="240">
        <v>45692</v>
      </c>
      <c r="Q846">
        <v>8496.2080078125</v>
      </c>
    </row>
    <row r="847" spans="16:17" x14ac:dyDescent="0.3">
      <c r="P847" s="240">
        <v>45693</v>
      </c>
      <c r="Q847">
        <v>8454.1728515625</v>
      </c>
    </row>
    <row r="848" spans="16:17" x14ac:dyDescent="0.3">
      <c r="P848" s="240">
        <v>45694</v>
      </c>
      <c r="Q848">
        <v>8267.05859375</v>
      </c>
    </row>
    <row r="849" spans="16:17" x14ac:dyDescent="0.3">
      <c r="P849" s="240">
        <v>45695</v>
      </c>
      <c r="Q849">
        <v>8347.9228515625</v>
      </c>
    </row>
    <row r="850" spans="16:17" x14ac:dyDescent="0.3">
      <c r="P850" s="240">
        <v>45698</v>
      </c>
      <c r="Q850">
        <v>8164.59375</v>
      </c>
    </row>
    <row r="851" spans="16:17" x14ac:dyDescent="0.3">
      <c r="P851" s="240">
        <v>45699</v>
      </c>
      <c r="Q851">
        <v>8008.68798828125</v>
      </c>
    </row>
    <row r="852" spans="16:17" x14ac:dyDescent="0.3">
      <c r="P852" s="240">
        <v>45700</v>
      </c>
      <c r="Q852">
        <v>7924.6201171875</v>
      </c>
    </row>
    <row r="853" spans="16:17" x14ac:dyDescent="0.3">
      <c r="P853" s="240">
        <v>45701</v>
      </c>
      <c r="Q853">
        <v>7758.7158203125</v>
      </c>
    </row>
    <row r="854" spans="16:17" x14ac:dyDescent="0.3">
      <c r="P854" s="240">
        <v>45702</v>
      </c>
      <c r="Q854">
        <v>7434.47900390625</v>
      </c>
    </row>
    <row r="855" spans="16:17" x14ac:dyDescent="0.3">
      <c r="P855" s="240">
        <v>45705</v>
      </c>
      <c r="Q855">
        <v>7226.4921875</v>
      </c>
    </row>
    <row r="856" spans="16:17" x14ac:dyDescent="0.3">
      <c r="P856" s="240">
        <v>45706</v>
      </c>
      <c r="Q856">
        <v>7003.2158203125</v>
      </c>
    </row>
    <row r="857" spans="16:17" x14ac:dyDescent="0.3">
      <c r="P857" s="240">
        <v>45707</v>
      </c>
      <c r="Q857">
        <v>7129.31787109375</v>
      </c>
    </row>
    <row r="858" spans="16:17" x14ac:dyDescent="0.3">
      <c r="P858" s="240">
        <v>45708</v>
      </c>
      <c r="Q858">
        <v>7381.66943359375</v>
      </c>
    </row>
    <row r="859" spans="16:17" x14ac:dyDescent="0.3">
      <c r="P859" s="240">
        <v>45709</v>
      </c>
      <c r="Q859">
        <v>7326.966796875</v>
      </c>
    </row>
    <row r="860" spans="16:17" x14ac:dyDescent="0.3">
      <c r="P860" s="240">
        <v>45712</v>
      </c>
      <c r="Q860">
        <v>7385.552734375</v>
      </c>
    </row>
    <row r="861" spans="16:17" x14ac:dyDescent="0.3">
      <c r="P861" s="240">
        <v>45713</v>
      </c>
      <c r="Q861">
        <v>7616.93505859375</v>
      </c>
    </row>
    <row r="862" spans="16:17" x14ac:dyDescent="0.3">
      <c r="P862" s="240">
        <v>45715</v>
      </c>
      <c r="Q862">
        <v>7451.41845703125</v>
      </c>
    </row>
    <row r="863" spans="16:17" x14ac:dyDescent="0.3">
      <c r="P863" s="240">
        <v>45716</v>
      </c>
      <c r="Q863">
        <v>7278.57373046875</v>
      </c>
    </row>
    <row r="864" spans="16:17" x14ac:dyDescent="0.3">
      <c r="P864" s="240">
        <v>45719</v>
      </c>
      <c r="Q864">
        <v>7384.33935546875</v>
      </c>
    </row>
    <row r="865" spans="16:17" x14ac:dyDescent="0.3">
      <c r="P865" s="240">
        <v>45720</v>
      </c>
      <c r="Q865">
        <v>7188.63232421875</v>
      </c>
    </row>
    <row r="866" spans="16:17" x14ac:dyDescent="0.3">
      <c r="P866" s="240">
        <v>45721</v>
      </c>
      <c r="Q866">
        <v>7082.62451171875</v>
      </c>
    </row>
    <row r="867" spans="16:17" x14ac:dyDescent="0.3">
      <c r="P867" s="240">
        <v>45722</v>
      </c>
      <c r="Q867">
        <v>7183.7294921875</v>
      </c>
    </row>
    <row r="868" spans="16:17" x14ac:dyDescent="0.3">
      <c r="P868" s="240">
        <v>45723</v>
      </c>
      <c r="Q868">
        <v>7136.45361328125</v>
      </c>
    </row>
    <row r="869" spans="16:17" x14ac:dyDescent="0.3">
      <c r="P869" s="240">
        <v>45726</v>
      </c>
      <c r="Q869">
        <v>7139.65673828125</v>
      </c>
    </row>
    <row r="870" spans="16:17" x14ac:dyDescent="0.3">
      <c r="P870" s="240">
        <v>45727</v>
      </c>
      <c r="Q870">
        <v>7169.89599609375</v>
      </c>
    </row>
    <row r="871" spans="16:17" x14ac:dyDescent="0.3">
      <c r="P871" s="240">
        <v>45728</v>
      </c>
      <c r="Q871">
        <v>7084.12939453125</v>
      </c>
    </row>
    <row r="872" spans="16:17" x14ac:dyDescent="0.3">
      <c r="P872" s="240">
        <v>45729</v>
      </c>
      <c r="Q872">
        <v>7148.10302734375</v>
      </c>
    </row>
    <row r="873" spans="16:17" x14ac:dyDescent="0.3">
      <c r="P873" s="240">
        <v>45733</v>
      </c>
      <c r="Q873">
        <v>7121.1640625</v>
      </c>
    </row>
    <row r="874" spans="16:17" x14ac:dyDescent="0.3">
      <c r="P874" s="240">
        <v>45734</v>
      </c>
      <c r="Q874">
        <v>6998.16748046875</v>
      </c>
    </row>
    <row r="875" spans="16:17" x14ac:dyDescent="0.3">
      <c r="P875" s="240">
        <v>45735</v>
      </c>
      <c r="Q875">
        <v>7092.5263671875</v>
      </c>
    </row>
    <row r="876" spans="16:17" x14ac:dyDescent="0.3">
      <c r="P876" s="240">
        <v>45736</v>
      </c>
      <c r="Q876">
        <v>7072.673828125</v>
      </c>
    </row>
    <row r="877" spans="16:17" x14ac:dyDescent="0.3">
      <c r="P877" s="240">
        <v>45737</v>
      </c>
      <c r="Q877">
        <v>7076.8486328125</v>
      </c>
    </row>
    <row r="878" spans="16:17" x14ac:dyDescent="0.3">
      <c r="P878" s="240">
        <v>45740</v>
      </c>
      <c r="Q878">
        <v>7165.236328125</v>
      </c>
    </row>
    <row r="879" spans="16:17" x14ac:dyDescent="0.3">
      <c r="P879" s="240">
        <v>45741</v>
      </c>
      <c r="Q879">
        <v>7106.55322265625</v>
      </c>
    </row>
    <row r="880" spans="16:17" x14ac:dyDescent="0.3">
      <c r="P880" s="240">
        <v>45742</v>
      </c>
      <c r="Q880">
        <v>7031.75634765625</v>
      </c>
    </row>
    <row r="881" spans="16:17" x14ac:dyDescent="0.3">
      <c r="P881" s="240">
        <v>45743</v>
      </c>
      <c r="Q881">
        <v>7029.9599609375</v>
      </c>
    </row>
    <row r="882" spans="16:17" x14ac:dyDescent="0.3">
      <c r="P882" s="240">
        <v>45744</v>
      </c>
      <c r="Q882">
        <v>7003.4091796875</v>
      </c>
    </row>
    <row r="883" spans="16:17" x14ac:dyDescent="0.3">
      <c r="P883" s="240">
        <v>45748</v>
      </c>
      <c r="Q883">
        <v>7130.67724609375</v>
      </c>
    </row>
    <row r="884" spans="16:17" x14ac:dyDescent="0.3">
      <c r="P884" s="240">
        <v>45749</v>
      </c>
      <c r="Q884">
        <v>7337.49951171875</v>
      </c>
    </row>
    <row r="885" spans="16:17" x14ac:dyDescent="0.3">
      <c r="P885" s="240">
        <v>45750</v>
      </c>
      <c r="Q885">
        <v>7355.2646484375</v>
      </c>
    </row>
    <row r="886" spans="16:17" x14ac:dyDescent="0.3">
      <c r="P886" s="240">
        <v>45751</v>
      </c>
      <c r="Q886">
        <v>7389.62939453125</v>
      </c>
    </row>
    <row r="887" spans="16:17" x14ac:dyDescent="0.3">
      <c r="P887" s="240">
        <v>45754</v>
      </c>
      <c r="Q887">
        <v>7324.34521484375</v>
      </c>
    </row>
    <row r="888" spans="16:17" x14ac:dyDescent="0.3">
      <c r="P888" s="240">
        <v>45755</v>
      </c>
      <c r="Q888">
        <v>7370.79638671875</v>
      </c>
    </row>
    <row r="889" spans="16:17" x14ac:dyDescent="0.3">
      <c r="P889" s="240">
        <v>45756</v>
      </c>
      <c r="Q889">
        <v>7352.837890625</v>
      </c>
    </row>
    <row r="890" spans="16:17" x14ac:dyDescent="0.3">
      <c r="P890" s="240">
        <v>45758</v>
      </c>
      <c r="Q890">
        <v>7426.27587890625</v>
      </c>
    </row>
    <row r="891" spans="16:17" x14ac:dyDescent="0.3">
      <c r="P891" s="240">
        <v>45762</v>
      </c>
      <c r="Q891">
        <v>7593.53955078125</v>
      </c>
    </row>
    <row r="892" spans="16:17" x14ac:dyDescent="0.3">
      <c r="P892" s="240">
        <v>45763</v>
      </c>
      <c r="Q892">
        <v>7698.67333984375</v>
      </c>
    </row>
    <row r="893" spans="16:17" x14ac:dyDescent="0.3">
      <c r="P893" s="240">
        <v>45764</v>
      </c>
      <c r="Q893">
        <v>7741.53271484375</v>
      </c>
    </row>
    <row r="894" spans="16:17" x14ac:dyDescent="0.3">
      <c r="P894" s="240">
        <v>45768</v>
      </c>
      <c r="Q894">
        <v>7713.4775390625</v>
      </c>
    </row>
    <row r="895" spans="16:17" x14ac:dyDescent="0.3">
      <c r="P895" s="240">
        <v>45769</v>
      </c>
      <c r="Q895">
        <v>7744.5908203125</v>
      </c>
    </row>
    <row r="896" spans="16:17" x14ac:dyDescent="0.3">
      <c r="P896" s="240">
        <v>45770</v>
      </c>
      <c r="Q896">
        <v>7870.5966796875</v>
      </c>
    </row>
    <row r="897" spans="16:17" x14ac:dyDescent="0.3">
      <c r="P897" s="240">
        <v>45771</v>
      </c>
      <c r="Q897">
        <v>7809.29296875</v>
      </c>
    </row>
    <row r="898" spans="16:17" x14ac:dyDescent="0.3">
      <c r="P898" s="240">
        <v>45772</v>
      </c>
      <c r="Q898">
        <v>7679.06396484375</v>
      </c>
    </row>
    <row r="899" spans="16:17" x14ac:dyDescent="0.3">
      <c r="P899" s="240">
        <v>45775</v>
      </c>
      <c r="Q899">
        <v>7660.2802734375</v>
      </c>
    </row>
    <row r="900" spans="16:17" x14ac:dyDescent="0.3">
      <c r="P900" s="240">
        <v>45776</v>
      </c>
      <c r="Q900">
        <v>7789.7802734375</v>
      </c>
    </row>
    <row r="901" spans="16:17" x14ac:dyDescent="0.3">
      <c r="P901" s="240">
        <v>45777</v>
      </c>
      <c r="Q901">
        <v>7762.30712890625</v>
      </c>
    </row>
    <row r="902" spans="16:17" x14ac:dyDescent="0.3">
      <c r="P902" s="240">
        <v>45779</v>
      </c>
      <c r="Q902">
        <v>7756.43408203125</v>
      </c>
    </row>
    <row r="903" spans="16:17" x14ac:dyDescent="0.3">
      <c r="P903" s="240">
        <v>45782</v>
      </c>
      <c r="Q903">
        <v>7774.29638671875</v>
      </c>
    </row>
    <row r="904" spans="16:17" x14ac:dyDescent="0.3">
      <c r="P904" s="240">
        <v>45783</v>
      </c>
      <c r="Q904">
        <v>7769.05419921875</v>
      </c>
    </row>
    <row r="905" spans="16:17" x14ac:dyDescent="0.3">
      <c r="P905" s="240">
        <v>45784</v>
      </c>
      <c r="Q905">
        <v>7841.1337890625</v>
      </c>
    </row>
    <row r="906" spans="16:17" x14ac:dyDescent="0.3">
      <c r="P906" s="240">
        <v>45785</v>
      </c>
      <c r="Q906">
        <v>7740.173828125</v>
      </c>
    </row>
    <row r="907" spans="16:17" x14ac:dyDescent="0.3">
      <c r="P907" s="240">
        <v>45786</v>
      </c>
      <c r="Q907">
        <v>7746.7265625</v>
      </c>
    </row>
    <row r="908" spans="16:17" x14ac:dyDescent="0.3">
      <c r="P908" s="240">
        <v>45789</v>
      </c>
      <c r="Q908">
        <v>7784.44091796875</v>
      </c>
    </row>
    <row r="909" spans="16:17" x14ac:dyDescent="0.3">
      <c r="P909" s="240">
        <v>45790</v>
      </c>
      <c r="Q909">
        <v>7801.38037109375</v>
      </c>
    </row>
    <row r="910" spans="16:17" x14ac:dyDescent="0.3">
      <c r="P910" s="240">
        <v>45791</v>
      </c>
      <c r="Q910">
        <v>7757.11376953125</v>
      </c>
    </row>
    <row r="911" spans="16:17" x14ac:dyDescent="0.3">
      <c r="P911" s="240">
        <v>45792</v>
      </c>
      <c r="Q911">
        <v>7754.4443359375</v>
      </c>
    </row>
    <row r="912" spans="16:17" x14ac:dyDescent="0.3">
      <c r="P912" s="240">
        <v>45793</v>
      </c>
      <c r="Q912">
        <v>7674.79248046875</v>
      </c>
    </row>
    <row r="913" spans="16:17" x14ac:dyDescent="0.3">
      <c r="P913" s="240">
        <v>45796</v>
      </c>
      <c r="Q913">
        <v>7540.05029296875</v>
      </c>
    </row>
    <row r="914" spans="16:17" x14ac:dyDescent="0.3">
      <c r="P914" s="240">
        <v>45797</v>
      </c>
      <c r="Q914">
        <v>7552.2333984375</v>
      </c>
    </row>
    <row r="915" spans="16:17" x14ac:dyDescent="0.3">
      <c r="P915" s="240">
        <v>45798</v>
      </c>
      <c r="Q915">
        <v>7525.876953125</v>
      </c>
    </row>
    <row r="916" spans="16:17" x14ac:dyDescent="0.3">
      <c r="P916" s="240">
        <v>45799</v>
      </c>
      <c r="Q916">
        <v>7670.37548828125</v>
      </c>
    </row>
    <row r="917" spans="16:17" x14ac:dyDescent="0.3">
      <c r="P917" s="240">
        <v>45800</v>
      </c>
      <c r="Q917">
        <v>7728.33056640625</v>
      </c>
    </row>
    <row r="918" spans="16:17" x14ac:dyDescent="0.3">
      <c r="P918" s="240">
        <v>45803</v>
      </c>
      <c r="Q918">
        <v>7702.556640625</v>
      </c>
    </row>
    <row r="919" spans="16:17" x14ac:dyDescent="0.3">
      <c r="P919" s="240">
        <v>45804</v>
      </c>
      <c r="Q919">
        <v>7730.80615234375</v>
      </c>
    </row>
    <row r="920" spans="16:17" x14ac:dyDescent="0.3">
      <c r="P920" s="240">
        <v>45805</v>
      </c>
      <c r="Q920">
        <v>7705.03173828125</v>
      </c>
    </row>
    <row r="921" spans="16:17" x14ac:dyDescent="0.3">
      <c r="P921" s="240">
        <v>45806</v>
      </c>
      <c r="Q921">
        <v>7715.51611328125</v>
      </c>
    </row>
    <row r="922" spans="16:17" x14ac:dyDescent="0.3">
      <c r="P922" s="240">
        <v>45807</v>
      </c>
      <c r="Q922">
        <v>7684.7431640625</v>
      </c>
    </row>
    <row r="923" spans="16:17" x14ac:dyDescent="0.3">
      <c r="P923" s="240">
        <v>45810</v>
      </c>
      <c r="Q923">
        <v>7635.2333984375</v>
      </c>
    </row>
    <row r="924" spans="16:17" x14ac:dyDescent="0.3">
      <c r="P924" s="240">
        <v>45811</v>
      </c>
      <c r="Q924">
        <v>7630.8173828125</v>
      </c>
    </row>
    <row r="925" spans="16:17" x14ac:dyDescent="0.3">
      <c r="P925" s="240">
        <v>45812</v>
      </c>
      <c r="Q925">
        <v>7609.36279296875</v>
      </c>
    </row>
    <row r="926" spans="16:17" x14ac:dyDescent="0.3">
      <c r="P926" s="240">
        <v>45813</v>
      </c>
      <c r="Q926">
        <v>7603.392578125</v>
      </c>
    </row>
    <row r="927" spans="16:17" x14ac:dyDescent="0.3">
      <c r="P927" s="240">
        <v>45814</v>
      </c>
      <c r="Q927">
        <v>7601.49951171875</v>
      </c>
    </row>
    <row r="928" spans="16:17" x14ac:dyDescent="0.3">
      <c r="P928" s="240">
        <v>45817</v>
      </c>
      <c r="Q928">
        <v>7691.5380859375</v>
      </c>
    </row>
    <row r="929" spans="16:17" x14ac:dyDescent="0.3">
      <c r="P929" s="240">
        <v>45818</v>
      </c>
      <c r="Q929">
        <v>7722.65185546875</v>
      </c>
    </row>
    <row r="930" spans="16:17" x14ac:dyDescent="0.3">
      <c r="P930" s="240">
        <v>45819</v>
      </c>
      <c r="Q930">
        <v>7658.8720703125</v>
      </c>
    </row>
    <row r="931" spans="16:17" x14ac:dyDescent="0.3">
      <c r="P931" s="240">
        <v>45820</v>
      </c>
      <c r="Q931">
        <v>7672.123046875</v>
      </c>
    </row>
    <row r="932" spans="16:17" x14ac:dyDescent="0.3">
      <c r="P932" s="240">
        <v>45821</v>
      </c>
      <c r="Q932">
        <v>7636.83544921875</v>
      </c>
    </row>
    <row r="933" spans="16:17" x14ac:dyDescent="0.3">
      <c r="P933" s="240">
        <v>45824</v>
      </c>
      <c r="Q933">
        <v>7644.94140625</v>
      </c>
    </row>
    <row r="934" spans="16:17" x14ac:dyDescent="0.3">
      <c r="P934" s="240">
        <v>45825</v>
      </c>
      <c r="Q934">
        <v>7595.529296875</v>
      </c>
    </row>
    <row r="935" spans="16:17" x14ac:dyDescent="0.3">
      <c r="P935" s="240">
        <v>45826</v>
      </c>
      <c r="Q935">
        <v>7572.1826171875</v>
      </c>
    </row>
    <row r="936" spans="16:17" x14ac:dyDescent="0.3">
      <c r="P936" s="240">
        <v>45827</v>
      </c>
      <c r="Q936">
        <v>7629.84619140625</v>
      </c>
    </row>
    <row r="937" spans="16:17" x14ac:dyDescent="0.3">
      <c r="P937" s="240">
        <v>45828</v>
      </c>
      <c r="Q937">
        <v>7726.486328125</v>
      </c>
    </row>
    <row r="938" spans="16:17" x14ac:dyDescent="0.3">
      <c r="P938" s="240">
        <v>45831</v>
      </c>
      <c r="Q938">
        <v>7797.06103515625</v>
      </c>
    </row>
    <row r="939" spans="16:17" x14ac:dyDescent="0.3">
      <c r="P939" s="240">
        <v>45832</v>
      </c>
      <c r="Q939">
        <v>7838.26953125</v>
      </c>
    </row>
    <row r="940" spans="16:17" x14ac:dyDescent="0.3">
      <c r="P940" s="240">
        <v>45833</v>
      </c>
      <c r="Q940">
        <v>7832.9306640625</v>
      </c>
    </row>
    <row r="941" spans="16:17" x14ac:dyDescent="0.3">
      <c r="P941" s="240">
        <v>45834</v>
      </c>
      <c r="Q941">
        <v>7878.36279296875</v>
      </c>
    </row>
    <row r="942" spans="16:17" x14ac:dyDescent="0.3">
      <c r="P942" s="240">
        <v>45835</v>
      </c>
      <c r="Q942">
        <v>7895.0595703125</v>
      </c>
    </row>
    <row r="943" spans="16:17" x14ac:dyDescent="0.3">
      <c r="P943" s="240">
        <v>45838</v>
      </c>
      <c r="Q943">
        <v>8234.876953125</v>
      </c>
    </row>
    <row r="944" spans="16:17" x14ac:dyDescent="0.3">
      <c r="P944" s="240">
        <v>45839</v>
      </c>
      <c r="Q944">
        <v>8204.2001953125</v>
      </c>
    </row>
    <row r="945" spans="16:17" x14ac:dyDescent="0.3">
      <c r="P945" s="240">
        <v>45840</v>
      </c>
      <c r="Q945">
        <v>8166.92333984375</v>
      </c>
    </row>
    <row r="946" spans="16:17" x14ac:dyDescent="0.3">
      <c r="P946" s="240">
        <v>45841</v>
      </c>
      <c r="Q946">
        <v>8283.318359375</v>
      </c>
    </row>
    <row r="947" spans="16:17" x14ac:dyDescent="0.3">
      <c r="P947" s="240">
        <v>45842</v>
      </c>
      <c r="Q947">
        <v>8480.91796875</v>
      </c>
    </row>
    <row r="948" spans="16:17" x14ac:dyDescent="0.3">
      <c r="P948" s="240">
        <v>45845</v>
      </c>
      <c r="Q948">
        <v>8962.953125</v>
      </c>
    </row>
    <row r="949" spans="16:17" x14ac:dyDescent="0.3">
      <c r="P949" s="240">
        <v>45846</v>
      </c>
      <c r="Q949">
        <v>8960.57421875</v>
      </c>
    </row>
    <row r="950" spans="16:17" x14ac:dyDescent="0.3">
      <c r="P950" s="240">
        <v>45847</v>
      </c>
      <c r="Q950">
        <v>8917.8115234375</v>
      </c>
    </row>
    <row r="951" spans="16:17" x14ac:dyDescent="0.3">
      <c r="P951" s="240">
        <v>45848</v>
      </c>
      <c r="Q951">
        <v>8948.876953125</v>
      </c>
    </row>
    <row r="952" spans="16:17" x14ac:dyDescent="0.3">
      <c r="P952" s="240">
        <v>45849</v>
      </c>
      <c r="Q952">
        <v>9034.4013671875</v>
      </c>
    </row>
    <row r="953" spans="16:17" x14ac:dyDescent="0.3">
      <c r="P953" s="240">
        <v>45852</v>
      </c>
      <c r="Q953">
        <v>9331.5048828125</v>
      </c>
    </row>
    <row r="954" spans="16:17" x14ac:dyDescent="0.3">
      <c r="P954" s="240">
        <v>45853</v>
      </c>
      <c r="Q954">
        <v>9402.8076171875</v>
      </c>
    </row>
    <row r="955" spans="16:17" x14ac:dyDescent="0.3">
      <c r="P955" s="240">
        <v>45854</v>
      </c>
      <c r="Q955">
        <v>9400.8662109375</v>
      </c>
    </row>
    <row r="956" spans="16:17" x14ac:dyDescent="0.3">
      <c r="P956" s="240">
        <v>45855</v>
      </c>
      <c r="Q956">
        <v>9403.1474609375</v>
      </c>
    </row>
    <row r="957" spans="16:17" x14ac:dyDescent="0.3">
      <c r="P957" s="240">
        <v>45856</v>
      </c>
      <c r="Q957">
        <v>9362.083984375</v>
      </c>
    </row>
    <row r="958" spans="16:17" x14ac:dyDescent="0.3">
      <c r="P958" s="240">
        <v>45859</v>
      </c>
      <c r="Q958">
        <v>9263.6484375</v>
      </c>
    </row>
    <row r="959" spans="16:17" x14ac:dyDescent="0.3">
      <c r="P959" s="240">
        <v>45860</v>
      </c>
      <c r="Q959">
        <v>9264.23046875</v>
      </c>
    </row>
    <row r="960" spans="16:17" x14ac:dyDescent="0.3">
      <c r="P960" s="240">
        <v>45861</v>
      </c>
      <c r="Q960">
        <v>9237.09765625</v>
      </c>
    </row>
    <row r="961" spans="16:17" x14ac:dyDescent="0.3">
      <c r="P961" s="240">
        <v>45862</v>
      </c>
      <c r="Q961">
        <v>9172.15234375</v>
      </c>
    </row>
    <row r="962" spans="16:17" x14ac:dyDescent="0.3">
      <c r="P962" s="240">
        <v>45863</v>
      </c>
      <c r="Q962">
        <v>9124.9736328125</v>
      </c>
    </row>
    <row r="963" spans="16:17" x14ac:dyDescent="0.3">
      <c r="P963" s="240">
        <v>45866</v>
      </c>
      <c r="Q963">
        <v>9039.9345703125</v>
      </c>
    </row>
    <row r="964" spans="16:17" x14ac:dyDescent="0.3">
      <c r="P964" s="240">
        <v>45867</v>
      </c>
      <c r="Q964">
        <v>9099.7822265625</v>
      </c>
    </row>
    <row r="965" spans="16:17" x14ac:dyDescent="0.3">
      <c r="P965" s="240">
        <v>45868</v>
      </c>
      <c r="Q965">
        <v>9071.8251953125</v>
      </c>
    </row>
    <row r="966" spans="16:17" x14ac:dyDescent="0.3">
      <c r="P966" s="240">
        <v>45869</v>
      </c>
      <c r="Q966">
        <v>8894.9736328125</v>
      </c>
    </row>
    <row r="967" spans="16:17" x14ac:dyDescent="0.3">
      <c r="P967" s="240">
        <v>45870</v>
      </c>
      <c r="Q967">
        <v>8818.73046875</v>
      </c>
    </row>
    <row r="968" spans="16:17" x14ac:dyDescent="0.3">
      <c r="P968" s="240">
        <v>45873</v>
      </c>
      <c r="Q968">
        <v>8677.4658203125</v>
      </c>
    </row>
    <row r="969" spans="16:17" x14ac:dyDescent="0.3">
      <c r="P969" s="240">
        <v>45874</v>
      </c>
      <c r="Q969">
        <v>8860.765625</v>
      </c>
    </row>
    <row r="970" spans="16:17" x14ac:dyDescent="0.3">
      <c r="P970" s="240">
        <v>45875</v>
      </c>
      <c r="Q970">
        <v>8857.025390625</v>
      </c>
    </row>
    <row r="971" spans="16:17" x14ac:dyDescent="0.3">
      <c r="P971" s="240">
        <v>45876</v>
      </c>
      <c r="Q971">
        <v>8562.4375</v>
      </c>
    </row>
    <row r="972" spans="16:17" x14ac:dyDescent="0.3">
      <c r="P972" s="240">
        <v>45877</v>
      </c>
      <c r="Q972">
        <v>8440.369140625</v>
      </c>
    </row>
    <row r="973" spans="16:17" x14ac:dyDescent="0.3">
      <c r="P973" s="240">
        <v>45880</v>
      </c>
      <c r="Q973">
        <v>8572.6259765625</v>
      </c>
    </row>
    <row r="974" spans="16:17" x14ac:dyDescent="0.3">
      <c r="P974" s="240">
        <v>45881</v>
      </c>
      <c r="Q974">
        <v>8469.5078125</v>
      </c>
    </row>
    <row r="975" spans="16:17" x14ac:dyDescent="0.3">
      <c r="P975" s="240">
        <v>45882</v>
      </c>
      <c r="Q975">
        <v>8444.50390625</v>
      </c>
    </row>
    <row r="976" spans="16:17" x14ac:dyDescent="0.3">
      <c r="P976" s="240">
        <v>45883</v>
      </c>
      <c r="Q976">
        <v>8400.205078125</v>
      </c>
    </row>
    <row r="977" spans="16:17" x14ac:dyDescent="0.3">
      <c r="P977" s="240">
        <v>45887</v>
      </c>
      <c r="Q977">
        <v>8677.8603515625</v>
      </c>
    </row>
    <row r="978" spans="16:17" x14ac:dyDescent="0.3">
      <c r="P978" s="240">
        <v>45888</v>
      </c>
      <c r="Q978">
        <v>8560.9609375</v>
      </c>
    </row>
    <row r="979" spans="16:17" x14ac:dyDescent="0.3">
      <c r="P979" s="240">
        <v>45889</v>
      </c>
      <c r="Q979">
        <v>8707.2939453125</v>
      </c>
    </row>
    <row r="980" spans="16:17" x14ac:dyDescent="0.3">
      <c r="P980" s="240">
        <v>45890</v>
      </c>
      <c r="Q980">
        <v>8733.283203125</v>
      </c>
    </row>
    <row r="981" spans="16:17" x14ac:dyDescent="0.3">
      <c r="P981" s="240">
        <v>45891</v>
      </c>
      <c r="Q981">
        <v>8665.3095703125</v>
      </c>
    </row>
    <row r="982" spans="16:17" x14ac:dyDescent="0.3">
      <c r="P982" s="240">
        <v>45894</v>
      </c>
      <c r="Q982">
        <v>8512.9697265625</v>
      </c>
    </row>
    <row r="983" spans="16:17" x14ac:dyDescent="0.3">
      <c r="P983" s="240">
        <v>45895</v>
      </c>
      <c r="Q983">
        <v>8665.505859375</v>
      </c>
    </row>
    <row r="984" spans="16:17" x14ac:dyDescent="0.3">
      <c r="P984" s="240">
        <v>45897</v>
      </c>
      <c r="Q984">
        <v>8855.3515625</v>
      </c>
    </row>
    <row r="985" spans="16:17" x14ac:dyDescent="0.3">
      <c r="P985" s="240">
        <v>45898</v>
      </c>
      <c r="Q985">
        <v>8827.8369140625</v>
      </c>
    </row>
    <row r="986" spans="16:17" x14ac:dyDescent="0.3">
      <c r="P986" s="240">
        <v>45901</v>
      </c>
      <c r="Q986">
        <v>8747.3115234375</v>
      </c>
    </row>
    <row r="987" spans="16:17" x14ac:dyDescent="0.3">
      <c r="P987" s="240">
        <v>45902</v>
      </c>
      <c r="Q987">
        <v>8761.3388671875</v>
      </c>
    </row>
    <row r="988" spans="16:17" x14ac:dyDescent="0.3">
      <c r="P988" s="240">
        <v>45903</v>
      </c>
      <c r="Q988">
        <v>8845.1630859375</v>
      </c>
    </row>
    <row r="989" spans="16:17" x14ac:dyDescent="0.3">
      <c r="P989" s="240">
        <v>45904</v>
      </c>
      <c r="Q989">
        <v>8906.146484375</v>
      </c>
    </row>
    <row r="990" spans="16:17" x14ac:dyDescent="0.3">
      <c r="P990" s="240">
        <v>45905</v>
      </c>
      <c r="Q990">
        <v>8954.53125</v>
      </c>
    </row>
    <row r="991" spans="16:17" x14ac:dyDescent="0.3">
      <c r="P991" s="240">
        <v>45908</v>
      </c>
      <c r="Q991">
        <v>8943.3583984375</v>
      </c>
    </row>
    <row r="992" spans="16:17" x14ac:dyDescent="0.3">
      <c r="P992" s="240">
        <v>45909</v>
      </c>
      <c r="Q992">
        <v>8893.595703125</v>
      </c>
    </row>
    <row r="993" spans="16:17" x14ac:dyDescent="0.3">
      <c r="P993" s="240">
        <v>45910</v>
      </c>
      <c r="Q993">
        <v>8891.578125</v>
      </c>
    </row>
    <row r="994" spans="16:17" x14ac:dyDescent="0.3">
      <c r="P994" s="240">
        <v>45911</v>
      </c>
      <c r="Q994">
        <v>8855.0068359375</v>
      </c>
    </row>
    <row r="995" spans="16:17" x14ac:dyDescent="0.3">
      <c r="P995" s="240">
        <v>45912</v>
      </c>
      <c r="Q995">
        <v>8849.248046875</v>
      </c>
    </row>
    <row r="996" spans="16:17" x14ac:dyDescent="0.3">
      <c r="P996" s="240">
        <v>45915</v>
      </c>
      <c r="Q996">
        <v>8843.9326171875</v>
      </c>
    </row>
    <row r="997" spans="16:17" x14ac:dyDescent="0.3">
      <c r="P997" s="240">
        <v>45916</v>
      </c>
      <c r="Q997">
        <v>8784.3251953125</v>
      </c>
    </row>
    <row r="998" spans="16:17" x14ac:dyDescent="0.3">
      <c r="P998" s="240">
        <v>45917</v>
      </c>
      <c r="Q998">
        <v>8778.8125</v>
      </c>
    </row>
    <row r="999" spans="16:17" x14ac:dyDescent="0.3">
      <c r="P999" s="240">
        <v>45918</v>
      </c>
      <c r="Q999">
        <v>8829.166015625</v>
      </c>
    </row>
    <row r="1000" spans="16:17" x14ac:dyDescent="0.3">
      <c r="P1000" s="240">
        <v>45919</v>
      </c>
      <c r="Q1000">
        <v>8827.8857421875</v>
      </c>
    </row>
    <row r="1001" spans="16:17" x14ac:dyDescent="0.3">
      <c r="P1001" s="240">
        <v>45922</v>
      </c>
      <c r="Q1001">
        <v>8820.20703125</v>
      </c>
    </row>
    <row r="1002" spans="16:17" x14ac:dyDescent="0.3">
      <c r="P1002" s="240">
        <v>45923</v>
      </c>
      <c r="Q1002">
        <v>8815.8759765625</v>
      </c>
    </row>
    <row r="1003" spans="16:17" x14ac:dyDescent="0.3">
      <c r="P1003" s="240">
        <v>45924</v>
      </c>
      <c r="Q1003">
        <v>8693.462890625</v>
      </c>
    </row>
    <row r="1004" spans="16:17" x14ac:dyDescent="0.3">
      <c r="P1004" s="240">
        <v>45925</v>
      </c>
      <c r="Q1004">
        <v>8709.3125</v>
      </c>
    </row>
    <row r="1005" spans="16:17" x14ac:dyDescent="0.3">
      <c r="P1005" s="240">
        <v>45926</v>
      </c>
      <c r="Q1005">
        <v>8636.0712890625</v>
      </c>
    </row>
    <row r="1006" spans="16:17" x14ac:dyDescent="0.3">
      <c r="P1006" s="240">
        <v>45929</v>
      </c>
      <c r="Q1006">
        <v>8685.8828125</v>
      </c>
    </row>
    <row r="1007" spans="16:17" x14ac:dyDescent="0.3">
      <c r="P1007" s="240">
        <v>45930</v>
      </c>
      <c r="Q1007">
        <v>8580.5498046875</v>
      </c>
    </row>
    <row r="1008" spans="16:17" x14ac:dyDescent="0.3">
      <c r="P1008" s="240">
        <v>45931</v>
      </c>
      <c r="Q1008">
        <v>8645.275390625</v>
      </c>
    </row>
    <row r="1009" spans="16:17" x14ac:dyDescent="0.3">
      <c r="P1009" s="240">
        <v>45933</v>
      </c>
      <c r="Q1009">
        <v>8635.875</v>
      </c>
    </row>
    <row r="1010" spans="16:17" x14ac:dyDescent="0.3">
      <c r="P1010" s="240">
        <v>45936</v>
      </c>
      <c r="Q1010">
        <v>8676.4814453125</v>
      </c>
    </row>
    <row r="1011" spans="16:17" x14ac:dyDescent="0.3">
      <c r="P1011" s="240">
        <v>45937</v>
      </c>
      <c r="Q1011">
        <v>8681.5517578125</v>
      </c>
    </row>
    <row r="1012" spans="16:17" x14ac:dyDescent="0.3">
      <c r="P1012" s="240">
        <v>45938</v>
      </c>
      <c r="Q1012">
        <v>8542.1572265625</v>
      </c>
    </row>
    <row r="1013" spans="16:17" x14ac:dyDescent="0.3">
      <c r="P1013" s="240">
        <v>45939</v>
      </c>
      <c r="Q1013">
        <v>8506.2763671875</v>
      </c>
    </row>
    <row r="1014" spans="16:17" x14ac:dyDescent="0.3">
      <c r="P1014" s="240">
        <v>45940</v>
      </c>
      <c r="Q1014">
        <v>8463.5029296875</v>
      </c>
    </row>
    <row r="1015" spans="16:17" x14ac:dyDescent="0.3">
      <c r="P1015" s="240">
        <v>45943</v>
      </c>
      <c r="Q1015">
        <v>8517.646484375</v>
      </c>
    </row>
    <row r="1016" spans="16:17" x14ac:dyDescent="0.3">
      <c r="P1016" s="240">
        <v>45944</v>
      </c>
      <c r="Q1016">
        <v>8503.1259765625</v>
      </c>
    </row>
    <row r="1017" spans="16:17" x14ac:dyDescent="0.3">
      <c r="P1017" s="240">
        <v>45945</v>
      </c>
      <c r="Q1017">
        <v>8584.5380859375</v>
      </c>
    </row>
    <row r="1018" spans="16:17" x14ac:dyDescent="0.3">
      <c r="P1018" s="240">
        <v>45946</v>
      </c>
      <c r="Q1018">
        <v>8585.7177734375</v>
      </c>
    </row>
    <row r="1019" spans="16:17" x14ac:dyDescent="0.3">
      <c r="P1019" s="240">
        <v>45947</v>
      </c>
      <c r="Q1019">
        <v>8575.283203125</v>
      </c>
    </row>
    <row r="1020" spans="16:17" x14ac:dyDescent="0.3">
      <c r="P1020" s="240">
        <v>45950</v>
      </c>
      <c r="Q1020">
        <v>8551.263671875</v>
      </c>
    </row>
    <row r="1021" spans="16:17" x14ac:dyDescent="0.3">
      <c r="P1021" s="240">
        <v>45951</v>
      </c>
      <c r="Q1021">
        <v>8551.263671875</v>
      </c>
    </row>
    <row r="1022" spans="16:17" x14ac:dyDescent="0.3">
      <c r="P1022" s="240">
        <v>45953</v>
      </c>
      <c r="Q1022">
        <v>8564.50390625</v>
      </c>
    </row>
    <row r="1023" spans="16:17" x14ac:dyDescent="0.3">
      <c r="P1023" s="240">
        <v>45954</v>
      </c>
      <c r="Q1023">
        <v>8584.5380859375</v>
      </c>
    </row>
    <row r="1024" spans="16:17" x14ac:dyDescent="0.3">
      <c r="P1024" s="240">
        <v>45957</v>
      </c>
      <c r="Q1024">
        <v>8608.212890625</v>
      </c>
    </row>
    <row r="1025" spans="16:17" x14ac:dyDescent="0.3">
      <c r="P1025" s="240">
        <v>45958</v>
      </c>
      <c r="Q1025">
        <v>8837.779296875</v>
      </c>
    </row>
    <row r="1026" spans="16:17" x14ac:dyDescent="0.3">
      <c r="P1026" s="240">
        <v>45959</v>
      </c>
      <c r="Q1026">
        <v>8719.0087890625</v>
      </c>
    </row>
    <row r="1027" spans="16:17" x14ac:dyDescent="0.3">
      <c r="P1027" s="240">
        <v>45960</v>
      </c>
      <c r="Q1027">
        <v>8698.4345703125</v>
      </c>
    </row>
    <row r="1028" spans="16:17" x14ac:dyDescent="0.3">
      <c r="P1028" s="240">
        <v>45961</v>
      </c>
      <c r="Q1028">
        <v>8658.171875</v>
      </c>
    </row>
    <row r="1029" spans="16:17" x14ac:dyDescent="0.3">
      <c r="P1029" s="240">
        <v>45964</v>
      </c>
      <c r="Q1029">
        <v>8795.44921875</v>
      </c>
    </row>
    <row r="1030" spans="16:17" x14ac:dyDescent="0.3">
      <c r="P1030" s="240">
        <v>45965</v>
      </c>
      <c r="Q1030">
        <v>8698.1884765625</v>
      </c>
    </row>
    <row r="1031" spans="16:17" x14ac:dyDescent="0.3">
      <c r="P1031" s="240">
        <v>45967</v>
      </c>
      <c r="Q1031">
        <v>8533.9384765625</v>
      </c>
    </row>
    <row r="1032" spans="16:17" x14ac:dyDescent="0.3">
      <c r="P1032" s="240">
        <v>45968</v>
      </c>
      <c r="Q1032">
        <v>8484.5693359375</v>
      </c>
    </row>
    <row r="1033" spans="16:17" x14ac:dyDescent="0.3">
      <c r="P1033" s="240">
        <v>45971</v>
      </c>
      <c r="Q1033">
        <v>8486.341796875</v>
      </c>
    </row>
    <row r="1034" spans="16:17" x14ac:dyDescent="0.3">
      <c r="P1034" s="240">
        <v>45972</v>
      </c>
      <c r="Q1034">
        <v>8454.2490234375</v>
      </c>
    </row>
    <row r="1035" spans="16:17" x14ac:dyDescent="0.3">
      <c r="P1035" s="240">
        <v>45973</v>
      </c>
      <c r="Q1035">
        <v>8443.173828125</v>
      </c>
    </row>
    <row r="1036" spans="16:17" x14ac:dyDescent="0.3">
      <c r="P1036" s="240">
        <v>45974</v>
      </c>
      <c r="Q1036">
        <v>8340.9423828125</v>
      </c>
    </row>
    <row r="1037" spans="16:17" x14ac:dyDescent="0.3">
      <c r="P1037" s="240">
        <v>45975</v>
      </c>
      <c r="Q1037">
        <v>8247.2744140625</v>
      </c>
    </row>
    <row r="1038" spans="16:17" x14ac:dyDescent="0.3">
      <c r="P1038" s="240">
        <v>45978</v>
      </c>
      <c r="Q1038">
        <v>8198.9404296875</v>
      </c>
    </row>
    <row r="1039" spans="16:17" x14ac:dyDescent="0.3">
      <c r="P1039" s="240">
        <v>45979</v>
      </c>
      <c r="Q1039">
        <v>8206.470703125</v>
      </c>
    </row>
    <row r="1040" spans="16:17" x14ac:dyDescent="0.3">
      <c r="P1040" s="240">
        <v>45980</v>
      </c>
      <c r="Q1040">
        <v>7875.41015625</v>
      </c>
    </row>
    <row r="1041" spans="16:17" x14ac:dyDescent="0.3">
      <c r="P1041" s="240">
        <v>45981</v>
      </c>
      <c r="Q1041">
        <v>7876.68994140625</v>
      </c>
    </row>
    <row r="1042" spans="16:17" x14ac:dyDescent="0.3">
      <c r="P1042" s="240">
        <v>45982</v>
      </c>
      <c r="Q1042">
        <v>8044.09033203125</v>
      </c>
    </row>
    <row r="1043" spans="16:17" x14ac:dyDescent="0.3">
      <c r="P1043" s="240">
        <v>45985</v>
      </c>
      <c r="Q1043">
        <v>8096.26513671875</v>
      </c>
    </row>
    <row r="1044" spans="16:17" x14ac:dyDescent="0.3">
      <c r="P1044" s="240">
        <v>45986</v>
      </c>
      <c r="Q1044">
        <v>8014.45947265625</v>
      </c>
    </row>
    <row r="1045" spans="16:17" x14ac:dyDescent="0.3">
      <c r="P1045" s="240">
        <v>45987</v>
      </c>
      <c r="Q1045">
        <v>7948.306640625</v>
      </c>
    </row>
    <row r="1046" spans="16:17" x14ac:dyDescent="0.3">
      <c r="P1046" s="240">
        <v>45988</v>
      </c>
      <c r="Q1046">
        <v>8036.46142578125</v>
      </c>
    </row>
    <row r="1047" spans="16:17" x14ac:dyDescent="0.3">
      <c r="P1047" s="240">
        <v>45989</v>
      </c>
      <c r="Q1047">
        <v>8043.25341796875</v>
      </c>
    </row>
    <row r="1048" spans="16:17" x14ac:dyDescent="0.3">
      <c r="P1048" s="240">
        <v>45992</v>
      </c>
      <c r="Q1048">
        <v>7882.498046875</v>
      </c>
    </row>
    <row r="1049" spans="16:17" x14ac:dyDescent="0.3">
      <c r="P1049" s="240">
        <v>45993</v>
      </c>
      <c r="Q1049">
        <v>7899.92236328125</v>
      </c>
    </row>
    <row r="1050" spans="16:17" x14ac:dyDescent="0.3">
      <c r="P1050" s="240">
        <v>45994</v>
      </c>
      <c r="Q1050">
        <v>7696.83642578125</v>
      </c>
    </row>
    <row r="1051" spans="16:17" x14ac:dyDescent="0.3">
      <c r="P1051" s="240">
        <v>45995</v>
      </c>
      <c r="Q1051">
        <v>7752.75146484375</v>
      </c>
    </row>
    <row r="1052" spans="16:17" x14ac:dyDescent="0.3">
      <c r="P1052" s="240">
        <v>45996</v>
      </c>
      <c r="Q1052">
        <v>7866.2060546875</v>
      </c>
    </row>
    <row r="1053" spans="16:17" x14ac:dyDescent="0.3">
      <c r="P1053" s="240">
        <v>45999</v>
      </c>
      <c r="Q1053">
        <v>7835.541015625</v>
      </c>
    </row>
    <row r="1054" spans="16:17" x14ac:dyDescent="0.3">
      <c r="P1054" s="240">
        <v>46000</v>
      </c>
      <c r="Q1054">
        <v>7817.919921875</v>
      </c>
    </row>
    <row r="1055" spans="16:17" x14ac:dyDescent="0.3">
      <c r="P1055" s="240">
        <v>46001</v>
      </c>
      <c r="Q1055">
        <v>8062.94189453125</v>
      </c>
    </row>
    <row r="1056" spans="16:17" x14ac:dyDescent="0.3">
      <c r="P1056" s="240">
        <v>46002</v>
      </c>
      <c r="Q1056">
        <v>8420.0400390625</v>
      </c>
    </row>
    <row r="1057" spans="16:17" x14ac:dyDescent="0.3">
      <c r="P1057" s="240">
        <v>46003</v>
      </c>
      <c r="Q1057">
        <v>8402.419921875</v>
      </c>
    </row>
    <row r="1058" spans="16:17" x14ac:dyDescent="0.3">
      <c r="P1058" s="240">
        <v>46006</v>
      </c>
      <c r="Q1058">
        <v>8178.66064453125</v>
      </c>
    </row>
    <row r="1059" spans="16:17" x14ac:dyDescent="0.3">
      <c r="P1059" s="240">
        <v>46007</v>
      </c>
      <c r="Q1059">
        <v>7984.82861328125</v>
      </c>
    </row>
    <row r="1060" spans="16:17" x14ac:dyDescent="0.3">
      <c r="P1060" s="240">
        <v>46008</v>
      </c>
      <c r="Q1060">
        <v>7991.0302734375</v>
      </c>
    </row>
    <row r="1061" spans="16:17" x14ac:dyDescent="0.3">
      <c r="P1061" s="240">
        <v>46009</v>
      </c>
      <c r="Q1061">
        <v>7997.42919921875</v>
      </c>
    </row>
    <row r="1062" spans="16:17" x14ac:dyDescent="0.3">
      <c r="P1062" s="240">
        <v>46010</v>
      </c>
      <c r="Q1062">
        <v>7984.287109375</v>
      </c>
    </row>
    <row r="1063" spans="16:17" x14ac:dyDescent="0.3">
      <c r="P1063" s="240">
        <v>46013</v>
      </c>
      <c r="Q1063">
        <v>7927.3876953125</v>
      </c>
    </row>
    <row r="1064" spans="16:17" x14ac:dyDescent="0.3">
      <c r="P1064" s="240">
        <v>46014</v>
      </c>
      <c r="Q1064">
        <v>7986.9453125</v>
      </c>
    </row>
    <row r="1065" spans="16:17" x14ac:dyDescent="0.3">
      <c r="P1065" s="240">
        <v>46015</v>
      </c>
      <c r="Q1065">
        <v>8025.09130859375</v>
      </c>
    </row>
    <row r="1066" spans="16:17" x14ac:dyDescent="0.3">
      <c r="P1066" s="240">
        <v>46017</v>
      </c>
      <c r="Q1066">
        <v>8214.3955078125</v>
      </c>
    </row>
    <row r="1067" spans="16:17" x14ac:dyDescent="0.3">
      <c r="P1067" s="240">
        <v>46020</v>
      </c>
      <c r="Q1067">
        <v>8130.9658203125</v>
      </c>
    </row>
    <row r="1068" spans="16:17" x14ac:dyDescent="0.3">
      <c r="P1068" s="240">
        <v>46021</v>
      </c>
      <c r="Q1068">
        <v>7946.87890625</v>
      </c>
    </row>
    <row r="1069" spans="16:17" x14ac:dyDescent="0.3">
      <c r="P1069" s="240">
        <v>46022</v>
      </c>
      <c r="Q1069">
        <v>7976.90380859375</v>
      </c>
    </row>
    <row r="1070" spans="16:17" x14ac:dyDescent="0.3">
      <c r="P1070" s="240">
        <v>46023</v>
      </c>
      <c r="Q1070">
        <v>8036.412109375</v>
      </c>
    </row>
    <row r="1071" spans="16:17" x14ac:dyDescent="0.3">
      <c r="P1071" s="240">
        <v>46024</v>
      </c>
      <c r="Q1071">
        <v>7973.4091796875</v>
      </c>
    </row>
    <row r="1072" spans="16:17" x14ac:dyDescent="0.3">
      <c r="P1072" s="240">
        <v>46027</v>
      </c>
      <c r="Q1072">
        <v>7746.79541015625</v>
      </c>
    </row>
    <row r="1073" spans="16:17" x14ac:dyDescent="0.3">
      <c r="P1073" s="240">
        <v>46028</v>
      </c>
      <c r="Q1073">
        <v>7758.70703125</v>
      </c>
    </row>
    <row r="1074" spans="16:17" x14ac:dyDescent="0.3">
      <c r="P1074" s="240">
        <v>46029</v>
      </c>
      <c r="Q1074">
        <v>7820.2333984375</v>
      </c>
    </row>
    <row r="1075" spans="16:17" x14ac:dyDescent="0.3">
      <c r="P1075" s="240">
        <v>46030</v>
      </c>
      <c r="Q1075">
        <v>7787.35400390625</v>
      </c>
    </row>
    <row r="1076" spans="16:17" x14ac:dyDescent="0.3">
      <c r="P1076" s="240">
        <v>46031</v>
      </c>
      <c r="Q1076">
        <v>7702.98876953125</v>
      </c>
    </row>
    <row r="1077" spans="16:17" x14ac:dyDescent="0.3">
      <c r="P1077" s="240">
        <v>46034</v>
      </c>
      <c r="Q1077">
        <v>7628.9111328125</v>
      </c>
    </row>
    <row r="1078" spans="16:17" x14ac:dyDescent="0.3">
      <c r="P1078" s="240">
        <v>46035</v>
      </c>
      <c r="Q1078">
        <v>7592.63525390625</v>
      </c>
    </row>
    <row r="1079" spans="16:17" x14ac:dyDescent="0.3">
      <c r="P1079" s="240">
        <v>46036</v>
      </c>
      <c r="Q1079">
        <v>7702.05419921875</v>
      </c>
    </row>
    <row r="1080" spans="16:17" x14ac:dyDescent="0.3">
      <c r="P1080" s="240">
        <v>46038</v>
      </c>
      <c r="Q1080">
        <v>7628.8623046875</v>
      </c>
    </row>
    <row r="1081" spans="16:17" x14ac:dyDescent="0.3">
      <c r="P1081" s="240">
        <v>46041</v>
      </c>
      <c r="Q1081">
        <v>7641.1181640625</v>
      </c>
    </row>
    <row r="1082" spans="16:17" x14ac:dyDescent="0.3">
      <c r="P1082" s="240">
        <v>46042</v>
      </c>
      <c r="Q1082">
        <v>7499.3125</v>
      </c>
    </row>
    <row r="1083" spans="16:17" x14ac:dyDescent="0.3">
      <c r="P1083" s="240">
        <v>46043</v>
      </c>
      <c r="Q1083">
        <v>7386.94091796875</v>
      </c>
    </row>
    <row r="1084" spans="16:17" x14ac:dyDescent="0.3">
      <c r="P1084" s="240">
        <v>46044</v>
      </c>
      <c r="Q1084">
        <v>7500.8876953125</v>
      </c>
    </row>
    <row r="1085" spans="16:17" x14ac:dyDescent="0.3">
      <c r="P1085" s="240">
        <v>46045</v>
      </c>
      <c r="Q1085">
        <v>7502.31494140625</v>
      </c>
    </row>
    <row r="1086" spans="16:17" x14ac:dyDescent="0.3">
      <c r="P1086" s="240">
        <v>46049</v>
      </c>
      <c r="Q1086">
        <v>7553.25830078125</v>
      </c>
    </row>
    <row r="1087" spans="16:17" x14ac:dyDescent="0.3">
      <c r="P1087" s="240">
        <v>46050</v>
      </c>
      <c r="Q1087">
        <v>7761.7587890625</v>
      </c>
    </row>
    <row r="1088" spans="16:17" x14ac:dyDescent="0.3">
      <c r="P1088" s="240">
        <v>46051</v>
      </c>
      <c r="Q1088">
        <v>7591.65087890625</v>
      </c>
    </row>
    <row r="1089" spans="16:17" x14ac:dyDescent="0.3">
      <c r="P1089" s="240">
        <v>46052</v>
      </c>
      <c r="Q1089">
        <v>7403.82373046875</v>
      </c>
    </row>
    <row r="1090" spans="16:17" x14ac:dyDescent="0.3">
      <c r="P1090" s="240">
        <v>46055</v>
      </c>
      <c r="Q1090">
        <v>7384.6767578125</v>
      </c>
    </row>
    <row r="1091" spans="16:17" x14ac:dyDescent="0.3">
      <c r="P1091" s="240">
        <v>46056</v>
      </c>
      <c r="Q1091">
        <v>7451.125</v>
      </c>
    </row>
    <row r="1092" spans="16:17" x14ac:dyDescent="0.3">
      <c r="P1092" s="240">
        <v>46057</v>
      </c>
      <c r="Q1092">
        <v>7439.853515625</v>
      </c>
    </row>
    <row r="1093" spans="16:17" x14ac:dyDescent="0.3">
      <c r="P1093" s="240">
        <v>46058</v>
      </c>
      <c r="Q1093">
        <v>7383.15087890625</v>
      </c>
    </row>
    <row r="1094" spans="16:17" x14ac:dyDescent="0.3">
      <c r="P1094" s="240">
        <v>46059</v>
      </c>
      <c r="Q1094">
        <v>7410.517578125</v>
      </c>
    </row>
    <row r="1095" spans="16:17" x14ac:dyDescent="0.3">
      <c r="P1095" s="240">
        <v>46062</v>
      </c>
      <c r="Q1095">
        <v>7416.818359375</v>
      </c>
    </row>
    <row r="1096" spans="16:17" x14ac:dyDescent="0.3">
      <c r="P1096" s="240">
        <v>46063</v>
      </c>
      <c r="Q1096">
        <v>7353.17529296875</v>
      </c>
    </row>
    <row r="1097" spans="16:17" x14ac:dyDescent="0.3">
      <c r="P1097" s="240">
        <v>46064</v>
      </c>
      <c r="Q1097">
        <v>7375.66943359375</v>
      </c>
    </row>
    <row r="1098" spans="16:17" x14ac:dyDescent="0.3">
      <c r="P1098" s="240">
        <v>46065</v>
      </c>
      <c r="Q1098">
        <v>7395.6533203125</v>
      </c>
    </row>
    <row r="1099" spans="16:17" x14ac:dyDescent="0.3">
      <c r="P1099" s="240">
        <v>46066</v>
      </c>
      <c r="Q1099">
        <v>7255.27490234375</v>
      </c>
    </row>
    <row r="1100" spans="16:17" x14ac:dyDescent="0.3">
      <c r="P1100" s="240">
        <v>46069</v>
      </c>
      <c r="Q1100">
        <v>7261.3779296875</v>
      </c>
    </row>
    <row r="1101" spans="16:17" x14ac:dyDescent="0.3">
      <c r="P1101" s="240">
        <v>46070</v>
      </c>
      <c r="Q1101">
        <v>7193.55126953125</v>
      </c>
    </row>
    <row r="1102" spans="16:17" x14ac:dyDescent="0.3">
      <c r="P1102" s="240">
        <v>46071</v>
      </c>
      <c r="Q1102">
        <v>7162.0009765625</v>
      </c>
    </row>
    <row r="1103" spans="16:17" x14ac:dyDescent="0.3">
      <c r="P1103" s="240">
        <v>46072</v>
      </c>
      <c r="Q1103">
        <v>7087.67724609375</v>
      </c>
    </row>
    <row r="1104" spans="16:17" x14ac:dyDescent="0.3">
      <c r="P1104" s="240">
        <v>46073</v>
      </c>
      <c r="Q1104">
        <v>7201.525390625</v>
      </c>
    </row>
    <row r="1105" spans="16:17" x14ac:dyDescent="0.3">
      <c r="P1105" s="240">
        <v>46076</v>
      </c>
      <c r="Q1105">
        <v>7092.0576171875</v>
      </c>
    </row>
    <row r="1106" spans="16:17" x14ac:dyDescent="0.3">
      <c r="P1106" s="240">
        <v>46077</v>
      </c>
      <c r="Q1106">
        <v>7138.375</v>
      </c>
    </row>
    <row r="1107" spans="16:17" x14ac:dyDescent="0.3">
      <c r="P1107" s="240">
        <v>46078</v>
      </c>
      <c r="Q1107">
        <v>7084.97021484375</v>
      </c>
    </row>
    <row r="1108" spans="16:17" x14ac:dyDescent="0.3">
      <c r="P1108" s="240">
        <v>46079</v>
      </c>
      <c r="Q1108">
        <v>7154.96240234375</v>
      </c>
    </row>
    <row r="1109" spans="16:17" x14ac:dyDescent="0.3">
      <c r="P1109" s="240">
        <v>46080</v>
      </c>
      <c r="Q1109">
        <v>7234.01123046875</v>
      </c>
    </row>
    <row r="1110" spans="16:17" x14ac:dyDescent="0.3">
      <c r="P1110" s="240">
        <v>46083</v>
      </c>
      <c r="Q1110">
        <v>7144.52734375</v>
      </c>
    </row>
    <row r="1111" spans="16:17" x14ac:dyDescent="0.3">
      <c r="P1111" s="240">
        <v>46085</v>
      </c>
      <c r="Q1111">
        <v>7098.505859375</v>
      </c>
    </row>
    <row r="1112" spans="16:17" x14ac:dyDescent="0.3">
      <c r="P1112" s="240">
        <v>46086</v>
      </c>
      <c r="Q1112">
        <v>7105.49560546875</v>
      </c>
    </row>
    <row r="1113" spans="16:17" x14ac:dyDescent="0.3">
      <c r="P1113" s="240">
        <v>46087</v>
      </c>
      <c r="Q1113">
        <v>7049.77734375</v>
      </c>
    </row>
    <row r="1114" spans="16:17" x14ac:dyDescent="0.3">
      <c r="P1114" s="240">
        <v>46090</v>
      </c>
      <c r="Q1114">
        <v>7067.34912109375</v>
      </c>
    </row>
    <row r="1115" spans="16:17" x14ac:dyDescent="0.3">
      <c r="P1115" s="240">
        <v>46091</v>
      </c>
      <c r="Q1115">
        <v>7366.21875</v>
      </c>
    </row>
    <row r="1116" spans="16:17" x14ac:dyDescent="0.3">
      <c r="P1116" s="240">
        <v>46092</v>
      </c>
      <c r="Q1116">
        <v>7423.31494140625</v>
      </c>
    </row>
    <row r="1117" spans="16:17" x14ac:dyDescent="0.3">
      <c r="P1117" s="240">
        <v>46093</v>
      </c>
      <c r="Q1117">
        <v>7356.423828125</v>
      </c>
    </row>
    <row r="1118" spans="16:17" x14ac:dyDescent="0.3">
      <c r="P1118" s="240">
        <v>46094</v>
      </c>
      <c r="Q1118">
        <v>7371.9775390625</v>
      </c>
    </row>
    <row r="1119" spans="16:17" x14ac:dyDescent="0.3">
      <c r="P1119" s="240">
        <v>46097</v>
      </c>
      <c r="Q1119">
        <v>7334.56982421875</v>
      </c>
    </row>
    <row r="1120" spans="16:17" x14ac:dyDescent="0.3">
      <c r="P1120" s="240">
        <v>46098</v>
      </c>
      <c r="Q1120">
        <v>7372.9619140625</v>
      </c>
    </row>
    <row r="1121" spans="16:17" x14ac:dyDescent="0.3">
      <c r="P1121" s="240">
        <v>46099</v>
      </c>
      <c r="Q1121">
        <v>7266.2509765625</v>
      </c>
    </row>
    <row r="1122" spans="16:17" x14ac:dyDescent="0.3">
      <c r="P1122" s="240">
        <v>46100</v>
      </c>
      <c r="Q1122">
        <v>7436.5556640625</v>
      </c>
    </row>
    <row r="1123" spans="16:17" x14ac:dyDescent="0.3">
      <c r="P1123" s="240">
        <v>46101</v>
      </c>
      <c r="Q1123">
        <v>7405.841796875</v>
      </c>
    </row>
    <row r="1124" spans="16:17" x14ac:dyDescent="0.3">
      <c r="P1124" s="240">
        <v>46104</v>
      </c>
      <c r="Q1124">
        <v>7335.111328125</v>
      </c>
    </row>
    <row r="1125" spans="16:17" x14ac:dyDescent="0.3">
      <c r="P1125" s="240">
        <v>46105</v>
      </c>
      <c r="Q1125">
        <v>7429.51708984375</v>
      </c>
    </row>
    <row r="1126" spans="16:17" x14ac:dyDescent="0.3">
      <c r="P1126" s="240">
        <v>46106</v>
      </c>
      <c r="Q1126">
        <v>7447.63037109375</v>
      </c>
    </row>
    <row r="1127" spans="16:17" x14ac:dyDescent="0.3">
      <c r="P1127" s="240">
        <v>46108</v>
      </c>
      <c r="Q1127">
        <v>7479.72265625</v>
      </c>
    </row>
    <row r="1128" spans="16:17" x14ac:dyDescent="0.3">
      <c r="P1128" s="240">
        <v>46111</v>
      </c>
      <c r="Q1128">
        <v>7339.44287109375</v>
      </c>
    </row>
    <row r="1129" spans="16:17" x14ac:dyDescent="0.3">
      <c r="P1129" s="240">
        <v>46113</v>
      </c>
      <c r="Q1129">
        <v>7326.79296875</v>
      </c>
    </row>
    <row r="1130" spans="16:17" x14ac:dyDescent="0.3">
      <c r="P1130" s="240">
        <v>46114</v>
      </c>
      <c r="Q1130">
        <v>7218.85107421875</v>
      </c>
    </row>
    <row r="1131" spans="16:17" x14ac:dyDescent="0.3">
      <c r="P1131" s="240">
        <v>46118</v>
      </c>
      <c r="Q1131">
        <v>7265.857421875</v>
      </c>
    </row>
    <row r="1132" spans="16:17" x14ac:dyDescent="0.3">
      <c r="P1132" s="240">
        <v>46119</v>
      </c>
      <c r="Q1132">
        <v>7370.89453125</v>
      </c>
    </row>
    <row r="1133" spans="16:17" x14ac:dyDescent="0.3">
      <c r="P1133" s="240">
        <v>46120</v>
      </c>
      <c r="Q1133">
        <v>7479.1806640625</v>
      </c>
    </row>
    <row r="1134" spans="16:17" x14ac:dyDescent="0.3">
      <c r="P1134" s="240">
        <v>46121</v>
      </c>
      <c r="Q1134">
        <v>7465.44873046875</v>
      </c>
    </row>
    <row r="1135" spans="16:17" x14ac:dyDescent="0.3">
      <c r="P1135" s="240">
        <v>46122</v>
      </c>
      <c r="Q1135">
        <v>7457.91796875</v>
      </c>
    </row>
    <row r="1136" spans="16:17" x14ac:dyDescent="0.3">
      <c r="P1136" s="240">
        <v>46125</v>
      </c>
      <c r="Q1136">
        <v>7467.81103515625</v>
      </c>
    </row>
    <row r="1137" spans="16:17" x14ac:dyDescent="0.3">
      <c r="P1137" s="240">
        <v>46127</v>
      </c>
      <c r="Q1137">
        <v>7465.94091796875</v>
      </c>
    </row>
    <row r="1138" spans="16:17" x14ac:dyDescent="0.3">
      <c r="P1138" s="240">
        <v>46128</v>
      </c>
      <c r="Q1138">
        <v>7446.25244140625</v>
      </c>
    </row>
    <row r="1139" spans="16:17" x14ac:dyDescent="0.3">
      <c r="P1139" s="240">
        <v>46129</v>
      </c>
      <c r="Q1139">
        <v>7469.53369140625</v>
      </c>
    </row>
    <row r="1140" spans="16:17" x14ac:dyDescent="0.3">
      <c r="P1140" s="240">
        <v>46132</v>
      </c>
      <c r="Q1140">
        <v>7452.9462890625</v>
      </c>
    </row>
    <row r="1141" spans="16:17" x14ac:dyDescent="0.3">
      <c r="P1141" s="240">
        <v>46133</v>
      </c>
      <c r="Q1141">
        <v>7468.20458984375</v>
      </c>
    </row>
    <row r="1142" spans="16:17" x14ac:dyDescent="0.3">
      <c r="P1142" s="240">
        <v>46134</v>
      </c>
      <c r="Q1142">
        <v>7372.86328125</v>
      </c>
    </row>
    <row r="1143" spans="16:17" x14ac:dyDescent="0.3">
      <c r="P1143" s="240">
        <v>46135</v>
      </c>
      <c r="Q1143">
        <v>7459.0498046875</v>
      </c>
    </row>
    <row r="1144" spans="16:17" x14ac:dyDescent="0.3">
      <c r="P1144" s="240">
        <v>46136</v>
      </c>
      <c r="Q1144">
        <v>7350.1240234375</v>
      </c>
    </row>
    <row r="1145" spans="16:17" x14ac:dyDescent="0.3">
      <c r="P1145" s="240">
        <v>46139</v>
      </c>
      <c r="Q1145">
        <v>7382.75732421875</v>
      </c>
    </row>
    <row r="1146" spans="16:17" x14ac:dyDescent="0.3">
      <c r="P1146" s="240">
        <v>46140</v>
      </c>
      <c r="Q1146">
        <v>7351.05859375</v>
      </c>
    </row>
    <row r="1147" spans="16:17" x14ac:dyDescent="0.3">
      <c r="P1147" s="240">
        <v>46141</v>
      </c>
      <c r="Q1147">
        <v>7378.37646484375</v>
      </c>
    </row>
    <row r="1148" spans="16:17" x14ac:dyDescent="0.3">
      <c r="P1148" s="240">
        <v>46142</v>
      </c>
      <c r="Q1148">
        <v>7328.318359375</v>
      </c>
    </row>
    <row r="1149" spans="16:17" x14ac:dyDescent="0.3">
      <c r="P1149" s="240">
        <v>46146</v>
      </c>
      <c r="Q1149">
        <v>7295.68505859375</v>
      </c>
    </row>
    <row r="1150" spans="16:17" x14ac:dyDescent="0.3">
      <c r="P1150" s="240">
        <v>46147</v>
      </c>
      <c r="Q1150">
        <v>7247.990234375</v>
      </c>
    </row>
    <row r="1151" spans="16:17" x14ac:dyDescent="0.3">
      <c r="P1151" s="240">
        <v>46148</v>
      </c>
      <c r="Q1151">
        <v>7238.3427734375</v>
      </c>
    </row>
    <row r="1152" spans="16:17" x14ac:dyDescent="0.3">
      <c r="P1152" s="240">
        <v>46149</v>
      </c>
      <c r="Q1152">
        <v>7314.24169921875</v>
      </c>
    </row>
    <row r="1153" spans="16:17" x14ac:dyDescent="0.3">
      <c r="P1153" s="240">
        <v>46150</v>
      </c>
      <c r="Q1153">
        <v>7370.6982421875</v>
      </c>
    </row>
    <row r="1154" spans="16:17" x14ac:dyDescent="0.3">
      <c r="P1154" s="240">
        <v>46153</v>
      </c>
      <c r="Q1154">
        <v>7232.18994140625</v>
      </c>
    </row>
    <row r="1155" spans="16:17" x14ac:dyDescent="0.3">
      <c r="P1155" s="240">
        <v>46154</v>
      </c>
      <c r="Q1155">
        <v>7217.3251953125</v>
      </c>
    </row>
    <row r="1156" spans="16:17" x14ac:dyDescent="0.3">
      <c r="P1156" s="240">
        <v>46155</v>
      </c>
      <c r="Q1156">
        <v>7132.763671875</v>
      </c>
    </row>
    <row r="1157" spans="16:17" x14ac:dyDescent="0.3">
      <c r="P1157" s="240">
        <v>46156</v>
      </c>
      <c r="Q1157">
        <v>7078.916015625</v>
      </c>
    </row>
    <row r="1158" spans="16:17" x14ac:dyDescent="0.3">
      <c r="P1158" s="240">
        <v>46157</v>
      </c>
      <c r="Q1158">
        <v>7049.53125</v>
      </c>
    </row>
    <row r="1159" spans="16:17" x14ac:dyDescent="0.3">
      <c r="P1159" s="240">
        <v>46160</v>
      </c>
      <c r="Q1159">
        <v>7116.81640625</v>
      </c>
    </row>
    <row r="1160" spans="16:17" x14ac:dyDescent="0.3">
      <c r="P1160" s="240">
        <v>46161</v>
      </c>
      <c r="Q1160">
        <v>7061.49169921875</v>
      </c>
    </row>
    <row r="1161" spans="16:17" x14ac:dyDescent="0.3">
      <c r="P1161" s="240">
        <v>46162</v>
      </c>
      <c r="Q1161">
        <v>7118.14501953125</v>
      </c>
    </row>
    <row r="1162" spans="16:17" x14ac:dyDescent="0.3">
      <c r="P1162" s="240">
        <v>46163</v>
      </c>
      <c r="Q1162">
        <v>7084.42822265625</v>
      </c>
    </row>
    <row r="1163" spans="16:17" x14ac:dyDescent="0.3">
      <c r="P1163" s="240">
        <v>46164</v>
      </c>
      <c r="Q1163">
        <v>7052.3857421875</v>
      </c>
    </row>
    <row r="1164" spans="16:17" x14ac:dyDescent="0.3">
      <c r="P1164" s="240">
        <v>46167</v>
      </c>
      <c r="Q1164">
        <v>7086.20068359375</v>
      </c>
    </row>
    <row r="1165" spans="16:17" x14ac:dyDescent="0.3">
      <c r="P1165" s="240">
        <v>46168</v>
      </c>
      <c r="Q1165">
        <v>7087.82470703125</v>
      </c>
    </row>
    <row r="1166" spans="16:17" x14ac:dyDescent="0.3">
      <c r="P1166" s="240">
        <v>46169</v>
      </c>
      <c r="Q1166">
        <v>7161.95166015625</v>
      </c>
    </row>
    <row r="1167" spans="16:17" x14ac:dyDescent="0.3">
      <c r="P1167" s="240">
        <v>46170</v>
      </c>
      <c r="Q1167">
        <v>7161.95166015625</v>
      </c>
    </row>
    <row r="1168" spans="16:17" x14ac:dyDescent="0.3">
      <c r="P1168" s="240">
        <v>46171</v>
      </c>
      <c r="Q1168">
        <v>7326.9404296875</v>
      </c>
    </row>
    <row r="1169" spans="16:17" x14ac:dyDescent="0.3">
      <c r="P1169" s="240">
        <v>46174</v>
      </c>
      <c r="Q1169">
        <v>7331.02587890625</v>
      </c>
    </row>
    <row r="1170" spans="16:17" x14ac:dyDescent="0.3">
      <c r="P1170" s="240">
        <v>46175</v>
      </c>
      <c r="Q1170">
        <v>7376.3583984375</v>
      </c>
    </row>
    <row r="1171" spans="16:17" x14ac:dyDescent="0.3">
      <c r="P1171" s="240">
        <v>46176</v>
      </c>
      <c r="Q1171">
        <v>7328.26953125</v>
      </c>
    </row>
    <row r="1172" spans="16:17" x14ac:dyDescent="0.3">
      <c r="P1172" s="240">
        <v>46177</v>
      </c>
      <c r="Q1172">
        <v>7464.80859375</v>
      </c>
    </row>
    <row r="1173" spans="16:17" x14ac:dyDescent="0.3">
      <c r="P1173" s="240">
        <v>46178</v>
      </c>
      <c r="Q1173">
        <v>7439.41064453125</v>
      </c>
    </row>
    <row r="1174" spans="16:17" x14ac:dyDescent="0.3">
      <c r="P1174" s="240">
        <v>46181</v>
      </c>
      <c r="Q1174">
        <v>7413.17578125</v>
      </c>
    </row>
    <row r="1175" spans="16:17" x14ac:dyDescent="0.3">
      <c r="P1175" s="240">
        <v>46182</v>
      </c>
      <c r="Q1175">
        <v>7671.291015625</v>
      </c>
    </row>
    <row r="1176" spans="16:17" x14ac:dyDescent="0.3">
      <c r="P1176" s="240">
        <v>46183</v>
      </c>
      <c r="Q1176">
        <v>7587.91015625</v>
      </c>
    </row>
    <row r="1177" spans="16:17" x14ac:dyDescent="0.3">
      <c r="P1177" s="240">
        <v>46184</v>
      </c>
      <c r="Q1177">
        <v>7469.63232421875</v>
      </c>
    </row>
    <row r="1178" spans="16:17" x14ac:dyDescent="0.3">
      <c r="P1178" s="240">
        <v>46185</v>
      </c>
      <c r="Q1178">
        <v>7589.6328125</v>
      </c>
    </row>
    <row r="1179" spans="16:17" x14ac:dyDescent="0.3">
      <c r="P1179" s="240">
        <v>46188</v>
      </c>
      <c r="Q1179">
        <v>7677.49267578125</v>
      </c>
    </row>
    <row r="1180" spans="16:17" x14ac:dyDescent="0.3">
      <c r="P1180" s="240">
        <v>46189</v>
      </c>
      <c r="Q1180">
        <v>7701.41357421875</v>
      </c>
    </row>
    <row r="1181" spans="16:17" x14ac:dyDescent="0.3">
      <c r="P1181" s="240">
        <v>46190</v>
      </c>
      <c r="Q1181">
        <v>7628.6162109375</v>
      </c>
    </row>
    <row r="1182" spans="16:17" x14ac:dyDescent="0.3">
      <c r="P1182" s="240">
        <v>46191</v>
      </c>
      <c r="Q1182">
        <v>7671.291015625</v>
      </c>
    </row>
    <row r="1183" spans="16:17" x14ac:dyDescent="0.3">
      <c r="P1183" s="240">
        <v>46192</v>
      </c>
      <c r="Q1183">
        <v>7619.65771484375</v>
      </c>
    </row>
    <row r="1184" spans="16:17" x14ac:dyDescent="0.3">
      <c r="P1184" s="240">
        <v>46195</v>
      </c>
      <c r="Q1184">
        <v>7741.0859375</v>
      </c>
    </row>
    <row r="1185" spans="16:17" x14ac:dyDescent="0.3">
      <c r="P1185" s="240">
        <v>46196</v>
      </c>
      <c r="Q1185">
        <v>7687.68115234375</v>
      </c>
    </row>
    <row r="1186" spans="16:17" x14ac:dyDescent="0.3">
      <c r="P1186" s="240">
        <v>46197</v>
      </c>
      <c r="Q1186">
        <v>7767.17333984375</v>
      </c>
    </row>
    <row r="1187" spans="16:17" x14ac:dyDescent="0.3">
      <c r="P1187" s="240">
        <v>46198</v>
      </c>
      <c r="Q1187">
        <v>7888.06005859375</v>
      </c>
    </row>
    <row r="1188" spans="16:17" x14ac:dyDescent="0.3">
      <c r="P1188" s="240">
        <v>46199</v>
      </c>
      <c r="Q1188">
        <v>7888.06005859375</v>
      </c>
    </row>
    <row r="1189" spans="16:17" x14ac:dyDescent="0.3">
      <c r="P1189" s="240">
        <v>46202</v>
      </c>
      <c r="Q1189">
        <v>7983.056640625</v>
      </c>
    </row>
    <row r="1190" spans="16:17" x14ac:dyDescent="0.3">
      <c r="P1190" s="240">
        <v>46203</v>
      </c>
      <c r="Q1190">
        <v>8152.7705078125</v>
      </c>
    </row>
    <row r="1191" spans="16:17" x14ac:dyDescent="0.3">
      <c r="P1191" s="240">
        <v>46204</v>
      </c>
      <c r="Q1191">
        <v>8465.81640625</v>
      </c>
    </row>
    <row r="1192" spans="16:17" x14ac:dyDescent="0.3">
      <c r="P1192" s="240">
        <v>46205</v>
      </c>
      <c r="Q1192">
        <v>8759.46875</v>
      </c>
    </row>
    <row r="1193" spans="16:17" x14ac:dyDescent="0.3">
      <c r="P1193" s="240">
        <v>46206</v>
      </c>
      <c r="Q1193">
        <v>8789.3955078125</v>
      </c>
    </row>
    <row r="1194" spans="16:17" x14ac:dyDescent="0.3">
      <c r="P1194" s="240">
        <v>46209</v>
      </c>
      <c r="Q1194">
        <v>8747.212890625</v>
      </c>
    </row>
    <row r="1195" spans="16:17" x14ac:dyDescent="0.3">
      <c r="P1195" s="240">
        <v>46210</v>
      </c>
      <c r="Q1195">
        <v>8828.8212890625</v>
      </c>
    </row>
    <row r="1196" spans="16:17" x14ac:dyDescent="0.3">
      <c r="P1196" s="240">
        <v>46211</v>
      </c>
      <c r="Q1196">
        <v>8678.5498046875</v>
      </c>
    </row>
    <row r="1197" spans="16:17" x14ac:dyDescent="0.3">
      <c r="P1197" s="240">
        <v>46212</v>
      </c>
      <c r="Q1197">
        <v>8804.505859375</v>
      </c>
    </row>
    <row r="1198" spans="16:17" x14ac:dyDescent="0.3">
      <c r="P1198" s="240">
        <v>46213</v>
      </c>
      <c r="Q1198">
        <v>8711.1337890625</v>
      </c>
    </row>
    <row r="1199" spans="16:17" x14ac:dyDescent="0.3">
      <c r="P1199" s="240">
        <v>46216</v>
      </c>
      <c r="Q1199">
        <v>8788.853515625</v>
      </c>
    </row>
    <row r="1200" spans="16:17" x14ac:dyDescent="0.3">
      <c r="P1200" s="240">
        <v>46217</v>
      </c>
      <c r="Q1200">
        <v>8818.484375</v>
      </c>
    </row>
    <row r="1201" spans="16:17" x14ac:dyDescent="0.3">
      <c r="P1201" s="240">
        <v>46218</v>
      </c>
      <c r="Q1201">
        <v>8805.6865234375</v>
      </c>
    </row>
    <row r="1202" spans="16:17" x14ac:dyDescent="0.3">
      <c r="P1202" s="240">
        <v>46219</v>
      </c>
      <c r="Q1202">
        <v>8808.935546875</v>
      </c>
    </row>
    <row r="1203" spans="16:17" x14ac:dyDescent="0.3">
      <c r="P1203" s="240">
        <v>46220</v>
      </c>
      <c r="Q1203">
        <v>8937.2548828125</v>
      </c>
    </row>
    <row r="1204" spans="16:17" x14ac:dyDescent="0.3">
      <c r="P1204" s="240">
        <v>46223</v>
      </c>
      <c r="Q1204">
        <v>9118.53515625</v>
      </c>
    </row>
    <row r="1205" spans="16:17" x14ac:dyDescent="0.3">
      <c r="P1205" s="240">
        <v>46224</v>
      </c>
      <c r="Q1205">
        <v>8845.9501953125</v>
      </c>
    </row>
    <row r="1206" spans="16:17" x14ac:dyDescent="0.3">
      <c r="P1206" s="240">
        <v>46225</v>
      </c>
      <c r="Q1206">
        <v>8757.25</v>
      </c>
    </row>
    <row r="1207" spans="16:17" x14ac:dyDescent="0.3">
      <c r="P1207" s="240">
        <v>46226</v>
      </c>
      <c r="Q1207">
        <v>8475.4501953125</v>
      </c>
    </row>
    <row r="1208" spans="16:17" x14ac:dyDescent="0.3">
      <c r="P1208" s="240">
        <v>46227</v>
      </c>
      <c r="Q1208">
        <v>8715.349609375</v>
      </c>
    </row>
    <row r="1209" spans="16:17" x14ac:dyDescent="0.3">
      <c r="P1209" s="240">
        <v>46230</v>
      </c>
      <c r="Q1209">
        <v>8874.349609375</v>
      </c>
    </row>
    <row r="1210" spans="16:17" x14ac:dyDescent="0.3">
      <c r="P1210" s="240">
        <v>46231</v>
      </c>
      <c r="Q1210">
        <v>8774.0498046875</v>
      </c>
    </row>
    <row r="1211" spans="16:17" x14ac:dyDescent="0.3">
      <c r="P1211" s="240">
        <v>46232</v>
      </c>
      <c r="Q1211">
        <v>8518.900390625</v>
      </c>
    </row>
    <row r="1212" spans="16:17" x14ac:dyDescent="0.3">
      <c r="P1212" s="240">
        <v>46233</v>
      </c>
      <c r="Q1212">
        <v>8542.75</v>
      </c>
    </row>
    <row r="1213" spans="16:17" x14ac:dyDescent="0.3">
      <c r="P1213" s="240">
        <v>46234</v>
      </c>
      <c r="Q1213">
        <v>8500</v>
      </c>
    </row>
    <row r="1214" spans="16:17" x14ac:dyDescent="0.3">
      <c r="P1214" s="240">
        <v>46237</v>
      </c>
      <c r="Q1214">
        <v>8535.599609375</v>
      </c>
    </row>
    <row r="1215" spans="16:17" x14ac:dyDescent="0.3">
      <c r="P1215" s="240">
        <v>46238</v>
      </c>
      <c r="Q1215">
        <v>8584.2001953125</v>
      </c>
    </row>
    <row r="1216" spans="16:17" x14ac:dyDescent="0.3">
      <c r="P1216" s="240">
        <v>46239</v>
      </c>
      <c r="Q1216">
        <v>8517.75</v>
      </c>
    </row>
    <row r="1217" spans="16:17" x14ac:dyDescent="0.3">
      <c r="P1217" s="240">
        <v>46240</v>
      </c>
      <c r="Q1217">
        <v>8433.25</v>
      </c>
    </row>
    <row r="1218" spans="16:17" x14ac:dyDescent="0.3">
      <c r="P1218" s="240">
        <v>46241</v>
      </c>
      <c r="Q1218">
        <v>8318.599609375</v>
      </c>
    </row>
    <row r="1219" spans="16:17" x14ac:dyDescent="0.3">
      <c r="P1219" s="240">
        <v>46244</v>
      </c>
      <c r="Q1219">
        <v>8379.2001953125</v>
      </c>
    </row>
    <row r="1220" spans="16:17" x14ac:dyDescent="0.3">
      <c r="P1220" s="240">
        <v>46245</v>
      </c>
      <c r="Q1220">
        <v>8201.5498046875</v>
      </c>
    </row>
    <row r="1221" spans="16:17" x14ac:dyDescent="0.3">
      <c r="P1221" s="240">
        <v>46246</v>
      </c>
      <c r="Q1221">
        <v>8191.35009765625</v>
      </c>
    </row>
    <row r="1222" spans="16:17" x14ac:dyDescent="0.3">
      <c r="P1222" s="240">
        <v>46247</v>
      </c>
      <c r="Q1222">
        <v>8301.150390625</v>
      </c>
    </row>
    <row r="1223" spans="16:17" x14ac:dyDescent="0.3">
      <c r="P1223" s="240">
        <v>46248</v>
      </c>
      <c r="Q1223">
        <v>8351.650390625</v>
      </c>
    </row>
    <row r="1224" spans="16:17" x14ac:dyDescent="0.3">
      <c r="P1224" s="240">
        <v>46251</v>
      </c>
      <c r="Q1224">
        <v>8355</v>
      </c>
    </row>
    <row r="1225" spans="16:17" x14ac:dyDescent="0.3">
      <c r="P1225" s="240">
        <v>46252</v>
      </c>
      <c r="Q1225">
        <v>8213</v>
      </c>
    </row>
    <row r="1226" spans="16:17" x14ac:dyDescent="0.3">
      <c r="P1226" s="240">
        <v>46253</v>
      </c>
      <c r="Q1226">
        <v>8065</v>
      </c>
    </row>
    <row r="1227" spans="16:17" x14ac:dyDescent="0.3">
      <c r="P1227" s="240">
        <v>46254</v>
      </c>
      <c r="Q1227">
        <v>8082.9501953125</v>
      </c>
    </row>
    <row r="1228" spans="16:17" x14ac:dyDescent="0.3">
      <c r="P1228" s="240">
        <v>46255</v>
      </c>
      <c r="Q1228">
        <v>8030.14990234375</v>
      </c>
    </row>
    <row r="1229" spans="16:17" x14ac:dyDescent="0.3">
      <c r="P1229" s="240">
        <v>46258</v>
      </c>
      <c r="Q1229">
        <v>8152.7001953125</v>
      </c>
    </row>
    <row r="1230" spans="16:17" x14ac:dyDescent="0.3">
      <c r="P1230" s="240">
        <v>46259</v>
      </c>
      <c r="Q1230">
        <v>8111.5</v>
      </c>
    </row>
    <row r="1231" spans="16:17" x14ac:dyDescent="0.3">
      <c r="P1231" s="240">
        <v>46260</v>
      </c>
      <c r="Q1231">
        <v>8174.75</v>
      </c>
    </row>
    <row r="1232" spans="16:17" x14ac:dyDescent="0.3">
      <c r="P1232" s="240">
        <v>46261</v>
      </c>
      <c r="Q1232">
        <v>8250</v>
      </c>
    </row>
    <row r="1233" spans="16:17" x14ac:dyDescent="0.3">
      <c r="P1233" s="240">
        <v>46262</v>
      </c>
      <c r="Q1233">
        <v>8197</v>
      </c>
    </row>
    <row r="1234" spans="16:17" x14ac:dyDescent="0.3">
      <c r="P1234" s="240">
        <v>46265</v>
      </c>
      <c r="Q1234">
        <v>8189</v>
      </c>
    </row>
    <row r="1235" spans="16:17" x14ac:dyDescent="0.3">
      <c r="P1235" s="240">
        <v>46266</v>
      </c>
      <c r="Q1235">
        <v>8133.39990234375</v>
      </c>
    </row>
    <row r="1236" spans="16:17" x14ac:dyDescent="0.3">
      <c r="P1236" s="240">
        <v>46267</v>
      </c>
      <c r="Q1236">
        <v>8198.5</v>
      </c>
    </row>
    <row r="1237" spans="16:17" x14ac:dyDescent="0.3">
      <c r="P1237" s="240">
        <v>46268</v>
      </c>
      <c r="Q1237">
        <v>8324.25</v>
      </c>
    </row>
    <row r="1238" spans="16:17" x14ac:dyDescent="0.3">
      <c r="P1238" s="240">
        <v>46269</v>
      </c>
      <c r="Q1238">
        <v>8413.349609375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98399-C506-4558-920F-37898BFC3108}">
  <sheetPr>
    <tabColor rgb="FF92D050"/>
    <pageSetUpPr fitToPage="1"/>
  </sheetPr>
  <dimension ref="A1:J111"/>
  <sheetViews>
    <sheetView showGridLines="0" zoomScaleNormal="100" workbookViewId="0">
      <pane xSplit="1" ySplit="7" topLeftCell="B34" activePane="bottomRight" state="frozen"/>
      <selection pane="topRight" activeCell="B1" sqref="B1"/>
      <selection pane="bottomLeft" activeCell="A8" sqref="A8"/>
      <selection pane="bottomRight" activeCell="D10" sqref="D10"/>
    </sheetView>
  </sheetViews>
  <sheetFormatPr defaultRowHeight="14.4" outlineLevelRow="1" x14ac:dyDescent="0.3"/>
  <cols>
    <col min="1" max="1" width="1.88671875" customWidth="1"/>
    <col min="2" max="2" width="51.44140625" style="38" bestFit="1" customWidth="1"/>
    <col min="3" max="3" width="10.5546875" style="24" bestFit="1" customWidth="1"/>
    <col min="4" max="4" width="11.5546875" style="24" bestFit="1" customWidth="1"/>
    <col min="5" max="8" width="10.44140625" style="24" bestFit="1" customWidth="1"/>
    <col min="9" max="9" width="10.44140625" bestFit="1" customWidth="1"/>
  </cols>
  <sheetData>
    <row r="1" spans="1:10" ht="4.2" customHeight="1" thickBot="1" x14ac:dyDescent="0.35">
      <c r="G1" s="79"/>
      <c r="H1" s="79"/>
    </row>
    <row r="2" spans="1:10" ht="15" customHeight="1" thickTop="1" x14ac:dyDescent="0.3">
      <c r="B2" s="224" t="s">
        <v>221</v>
      </c>
      <c r="C2" s="224"/>
      <c r="D2" s="224"/>
      <c r="E2" s="224"/>
      <c r="F2" s="76"/>
      <c r="G2" s="76"/>
      <c r="H2" s="76"/>
    </row>
    <row r="3" spans="1:10" ht="14.4" customHeight="1" x14ac:dyDescent="0.3">
      <c r="B3" s="225"/>
      <c r="C3" s="225"/>
      <c r="D3" s="225"/>
      <c r="E3" s="225"/>
      <c r="F3" s="77"/>
      <c r="G3" s="77"/>
      <c r="H3" s="77"/>
    </row>
    <row r="4" spans="1:10" ht="15" customHeight="1" thickBot="1" x14ac:dyDescent="0.35">
      <c r="B4" s="226"/>
      <c r="C4" s="226"/>
      <c r="D4" s="226"/>
      <c r="E4" s="226"/>
      <c r="F4" s="78"/>
      <c r="G4" s="227" t="s">
        <v>173</v>
      </c>
      <c r="H4" s="227"/>
    </row>
    <row r="5" spans="1:10" ht="4.2" customHeight="1" thickTop="1" x14ac:dyDescent="0.3">
      <c r="G5" s="50"/>
      <c r="H5" s="50"/>
    </row>
    <row r="6" spans="1:10" ht="14.4" customHeight="1" x14ac:dyDescent="0.3">
      <c r="B6" s="228" t="s">
        <v>223</v>
      </c>
      <c r="C6" s="228"/>
      <c r="D6" s="228"/>
      <c r="E6" s="228"/>
      <c r="F6" s="228"/>
      <c r="G6" s="228"/>
      <c r="H6" s="228"/>
    </row>
    <row r="7" spans="1:10" x14ac:dyDescent="0.3">
      <c r="B7" s="39" t="s">
        <v>146</v>
      </c>
      <c r="C7" s="35">
        <v>2021</v>
      </c>
      <c r="D7" s="35">
        <f>C7+1</f>
        <v>2022</v>
      </c>
      <c r="E7" s="35">
        <f t="shared" ref="E7:H7" si="0">D7+1</f>
        <v>2023</v>
      </c>
      <c r="F7" s="35">
        <f t="shared" si="0"/>
        <v>2024</v>
      </c>
      <c r="G7" s="35">
        <f t="shared" si="0"/>
        <v>2025</v>
      </c>
      <c r="H7" s="35">
        <f t="shared" si="0"/>
        <v>2026</v>
      </c>
    </row>
    <row r="8" spans="1:10" x14ac:dyDescent="0.3">
      <c r="A8" t="s">
        <v>145</v>
      </c>
      <c r="B8" s="45" t="s">
        <v>172</v>
      </c>
      <c r="C8" s="46"/>
      <c r="D8" s="46"/>
      <c r="E8" s="46"/>
      <c r="F8" s="46"/>
      <c r="G8" s="46"/>
      <c r="H8" s="46"/>
    </row>
    <row r="9" spans="1:10" outlineLevel="1" x14ac:dyDescent="0.3">
      <c r="B9" s="38" t="s">
        <v>147</v>
      </c>
      <c r="C9" s="36">
        <f>IFERROR('Income Statement'!B5,0)</f>
        <v>76845.94</v>
      </c>
      <c r="D9" s="36">
        <f>IFERROR('Income Statement'!C5,0)</f>
        <v>95801.19</v>
      </c>
      <c r="E9" s="36">
        <f>IFERROR('Income Statement'!D5,0)</f>
        <v>100579.5</v>
      </c>
      <c r="F9" s="36">
        <f>IFERROR('Income Statement'!E5,0)</f>
        <v>102414.97</v>
      </c>
      <c r="G9" s="36">
        <f>IFERROR('Income Statement'!F5,0)</f>
        <v>111575.66</v>
      </c>
      <c r="H9" s="36">
        <f>IFERROR('Income Statement'!G5,0)</f>
        <v>125292.73</v>
      </c>
      <c r="I9" s="36"/>
    </row>
    <row r="10" spans="1:10" outlineLevel="1" x14ac:dyDescent="0.3">
      <c r="B10" s="41" t="s">
        <v>148</v>
      </c>
      <c r="C10" s="37"/>
      <c r="D10" s="37">
        <f>IFERROR(D9/C9-1,0)</f>
        <v>0.24666560133170345</v>
      </c>
      <c r="E10" s="37">
        <f t="shared" ref="E10:H10" si="1">IFERROR(E9/D9-1,0)</f>
        <v>4.9877355385669064E-2</v>
      </c>
      <c r="F10" s="37">
        <f t="shared" si="1"/>
        <v>1.8248947350106182E-2</v>
      </c>
      <c r="G10" s="37">
        <f t="shared" si="1"/>
        <v>8.9446786929684219E-2</v>
      </c>
      <c r="H10" s="37">
        <f t="shared" si="1"/>
        <v>0.12293962679674042</v>
      </c>
      <c r="I10" s="37"/>
    </row>
    <row r="11" spans="1:10" outlineLevel="1" x14ac:dyDescent="0.3"/>
    <row r="12" spans="1:10" outlineLevel="1" x14ac:dyDescent="0.3">
      <c r="B12" s="38" t="s">
        <v>149</v>
      </c>
      <c r="C12" s="36">
        <f>IFERROR(SUM('Income Statement'!B9:B11),0)</f>
        <v>36519.71</v>
      </c>
      <c r="D12" s="36">
        <f>IFERROR(SUM('Income Statement'!C9:C11),0)</f>
        <v>48882.31</v>
      </c>
      <c r="E12" s="36">
        <f>IFERROR(SUM('Income Statement'!D9:D11),0)</f>
        <v>51139.8</v>
      </c>
      <c r="F12" s="36">
        <f>IFERROR(SUM('Income Statement'!E9:E11),0)</f>
        <v>49299.55</v>
      </c>
      <c r="G12" s="36">
        <f>IFERROR(SUM('Income Statement'!F9:F11),0)</f>
        <v>53670.090000000004</v>
      </c>
      <c r="H12" s="36">
        <f>IFERROR(SUM('Income Statement'!G9:G11),0)</f>
        <v>61654.000000000007</v>
      </c>
    </row>
    <row r="13" spans="1:10" outlineLevel="1" x14ac:dyDescent="0.3">
      <c r="B13" s="41" t="s">
        <v>159</v>
      </c>
      <c r="C13" s="37">
        <f>C12/C9</f>
        <v>0.47523278393107038</v>
      </c>
      <c r="D13" s="37">
        <f t="shared" ref="D13:H13" si="2">D12/D9</f>
        <v>0.51024741968236509</v>
      </c>
      <c r="E13" s="37">
        <f t="shared" si="2"/>
        <v>0.50845152342177091</v>
      </c>
      <c r="F13" s="37">
        <f t="shared" si="2"/>
        <v>0.48137054573174215</v>
      </c>
      <c r="G13" s="37">
        <f t="shared" si="2"/>
        <v>0.48101969551423673</v>
      </c>
      <c r="H13" s="37">
        <f t="shared" si="2"/>
        <v>0.49207962824339457</v>
      </c>
    </row>
    <row r="14" spans="1:10" outlineLevel="1" x14ac:dyDescent="0.3">
      <c r="J14" s="4"/>
    </row>
    <row r="15" spans="1:10" outlineLevel="1" x14ac:dyDescent="0.3">
      <c r="B15" s="43" t="s">
        <v>150</v>
      </c>
      <c r="C15" s="44">
        <f>IFERROR(C9-C12,0)</f>
        <v>40326.230000000003</v>
      </c>
      <c r="D15" s="44">
        <f t="shared" ref="D15:H15" si="3">IFERROR(D9-D12,0)</f>
        <v>46918.880000000005</v>
      </c>
      <c r="E15" s="44">
        <f t="shared" si="3"/>
        <v>49439.7</v>
      </c>
      <c r="F15" s="44">
        <f t="shared" si="3"/>
        <v>53115.42</v>
      </c>
      <c r="G15" s="44">
        <f t="shared" si="3"/>
        <v>57905.57</v>
      </c>
      <c r="H15" s="44">
        <f t="shared" si="3"/>
        <v>63638.729999999989</v>
      </c>
    </row>
    <row r="16" spans="1:10" outlineLevel="1" x14ac:dyDescent="0.3">
      <c r="B16" s="41" t="s">
        <v>151</v>
      </c>
      <c r="C16" s="37">
        <f>C15/C9</f>
        <v>0.52476721606892962</v>
      </c>
      <c r="D16" s="37">
        <f t="shared" ref="D16:H16" si="4">D15/D9</f>
        <v>0.48975258031763491</v>
      </c>
      <c r="E16" s="37">
        <f t="shared" si="4"/>
        <v>0.49154847657822914</v>
      </c>
      <c r="F16" s="37">
        <f t="shared" si="4"/>
        <v>0.51862945426825779</v>
      </c>
      <c r="G16" s="37">
        <f t="shared" si="4"/>
        <v>0.51898030448576327</v>
      </c>
      <c r="H16" s="37">
        <f t="shared" si="4"/>
        <v>0.50792037175660543</v>
      </c>
    </row>
    <row r="17" spans="2:8" outlineLevel="1" x14ac:dyDescent="0.3"/>
    <row r="18" spans="2:8" outlineLevel="1" x14ac:dyDescent="0.3">
      <c r="B18" s="38" t="s">
        <v>152</v>
      </c>
      <c r="C18" s="36">
        <f>IFERROR(SUM('Income Statement'!B12,'Income Statement'!B15),0)</f>
        <v>29245.309999999998</v>
      </c>
      <c r="D18" s="36">
        <f>IFERROR(SUM('Income Statement'!C12,'Income Statement'!C15),0)</f>
        <v>34942.949999999997</v>
      </c>
      <c r="E18" s="36">
        <f>IFERROR(SUM('Income Statement'!D12,'Income Statement'!D15),0)</f>
        <v>35906.33</v>
      </c>
      <c r="F18" s="36">
        <f>IFERROR(SUM('Income Statement'!E12,'Income Statement'!E15),0)</f>
        <v>38095.46</v>
      </c>
      <c r="G18" s="36">
        <f>IFERROR(SUM('Income Statement'!F12,'Income Statement'!F15),0)</f>
        <v>42451.66</v>
      </c>
      <c r="H18" s="36">
        <f>IFERROR(SUM('Income Statement'!G12,'Income Statement'!G15),0)</f>
        <v>45562.46</v>
      </c>
    </row>
    <row r="19" spans="2:8" outlineLevel="1" x14ac:dyDescent="0.3">
      <c r="B19" s="41" t="s">
        <v>158</v>
      </c>
      <c r="C19" s="37">
        <f>C18/C9</f>
        <v>0.38057065864507605</v>
      </c>
      <c r="D19" s="37">
        <f t="shared" ref="D19:H19" si="5">D18/D9</f>
        <v>0.36474442540849439</v>
      </c>
      <c r="E19" s="37">
        <f t="shared" si="5"/>
        <v>0.35699451677528721</v>
      </c>
      <c r="F19" s="37">
        <f t="shared" si="5"/>
        <v>0.37197159751157471</v>
      </c>
      <c r="G19" s="37">
        <f t="shared" si="5"/>
        <v>0.38047420019742662</v>
      </c>
      <c r="H19" s="37">
        <f t="shared" si="5"/>
        <v>0.36364807439346242</v>
      </c>
    </row>
    <row r="20" spans="2:8" outlineLevel="1" x14ac:dyDescent="0.3">
      <c r="C20" s="36"/>
      <c r="D20" s="36"/>
      <c r="E20" s="36"/>
      <c r="F20" s="36"/>
      <c r="G20" s="36"/>
      <c r="H20" s="36"/>
    </row>
    <row r="21" spans="2:8" outlineLevel="1" x14ac:dyDescent="0.3">
      <c r="B21" s="43" t="s">
        <v>153</v>
      </c>
      <c r="C21" s="44">
        <f>IFERROR(C15-C18,0)</f>
        <v>11080.920000000006</v>
      </c>
      <c r="D21" s="44">
        <f t="shared" ref="D21:H21" si="6">IFERROR(D15-D18,0)</f>
        <v>11975.930000000008</v>
      </c>
      <c r="E21" s="44">
        <f t="shared" si="6"/>
        <v>13533.369999999995</v>
      </c>
      <c r="F21" s="44">
        <f t="shared" si="6"/>
        <v>15019.96</v>
      </c>
      <c r="G21" s="44">
        <f t="shared" si="6"/>
        <v>15453.909999999996</v>
      </c>
      <c r="H21" s="44">
        <f t="shared" si="6"/>
        <v>18076.26999999999</v>
      </c>
    </row>
    <row r="22" spans="2:8" outlineLevel="1" x14ac:dyDescent="0.3">
      <c r="B22" s="41" t="s">
        <v>154</v>
      </c>
      <c r="C22" s="37">
        <f>C21/C9</f>
        <v>0.14419655742385357</v>
      </c>
      <c r="D22" s="37">
        <f>D21/D9</f>
        <v>0.12500815490914055</v>
      </c>
      <c r="E22" s="37">
        <f t="shared" ref="E22:H22" si="7">E21/E9</f>
        <v>0.13455395980294191</v>
      </c>
      <c r="F22" s="37">
        <f t="shared" si="7"/>
        <v>0.14665785675668311</v>
      </c>
      <c r="G22" s="37">
        <f t="shared" si="7"/>
        <v>0.13850610428833668</v>
      </c>
      <c r="H22" s="37">
        <f t="shared" si="7"/>
        <v>0.14427229736314301</v>
      </c>
    </row>
    <row r="23" spans="2:8" outlineLevel="1" x14ac:dyDescent="0.3"/>
    <row r="24" spans="2:8" outlineLevel="1" x14ac:dyDescent="0.3">
      <c r="B24" s="38" t="s">
        <v>18</v>
      </c>
      <c r="C24" s="36">
        <f>IFERROR('Income Statement'!B13,0)</f>
        <v>473.48</v>
      </c>
      <c r="D24" s="36">
        <f>IFERROR('Income Statement'!C13,0)</f>
        <v>605.71</v>
      </c>
      <c r="E24" s="36">
        <f>IFERROR('Income Statement'!D13,0)</f>
        <v>486.31</v>
      </c>
      <c r="F24" s="36">
        <f>IFERROR('Income Statement'!E13,0)</f>
        <v>455.02</v>
      </c>
      <c r="G24" s="36">
        <f>IFERROR('Income Statement'!F13,0)</f>
        <v>290.31</v>
      </c>
      <c r="H24" s="36">
        <f>IFERROR('Income Statement'!G13,0)</f>
        <v>352.88</v>
      </c>
    </row>
    <row r="25" spans="2:8" outlineLevel="1" x14ac:dyDescent="0.3">
      <c r="B25" s="41" t="s">
        <v>157</v>
      </c>
      <c r="C25" s="37">
        <f>C24/C9</f>
        <v>6.1614185472908525E-3</v>
      </c>
      <c r="D25" s="37">
        <f t="shared" ref="D25:H25" si="8">D24/D9</f>
        <v>6.3225728198157043E-3</v>
      </c>
      <c r="E25" s="37">
        <f t="shared" si="8"/>
        <v>4.8350807073011893E-3</v>
      </c>
      <c r="F25" s="37">
        <f t="shared" si="8"/>
        <v>4.4429051729449314E-3</v>
      </c>
      <c r="G25" s="37">
        <f t="shared" si="8"/>
        <v>2.6019115638661692E-3</v>
      </c>
      <c r="H25" s="37">
        <f t="shared" si="8"/>
        <v>2.816444337991518E-3</v>
      </c>
    </row>
    <row r="26" spans="2:8" outlineLevel="1" x14ac:dyDescent="0.3"/>
    <row r="27" spans="2:8" outlineLevel="1" x14ac:dyDescent="0.3">
      <c r="B27" s="38" t="s">
        <v>155</v>
      </c>
      <c r="C27" s="36">
        <f>IFERROR('Income Statement'!B14,0)</f>
        <v>533.14</v>
      </c>
      <c r="D27" s="36">
        <f>IFERROR('Income Statement'!C14,0)</f>
        <v>665.71</v>
      </c>
      <c r="E27" s="36">
        <f>IFERROR('Income Statement'!D14,0)</f>
        <v>771.96</v>
      </c>
      <c r="F27" s="36">
        <f>IFERROR('Income Statement'!E14,0)</f>
        <v>868.39</v>
      </c>
      <c r="G27" s="36">
        <f>IFERROR('Income Statement'!F14,0)</f>
        <v>1029.1600000000001</v>
      </c>
      <c r="H27" s="36">
        <f>IFERROR('Income Statement'!G14,0)</f>
        <v>1359.61</v>
      </c>
    </row>
    <row r="28" spans="2:8" outlineLevel="1" x14ac:dyDescent="0.3">
      <c r="B28" s="41" t="s">
        <v>156</v>
      </c>
      <c r="C28" s="37">
        <f>C27/C9</f>
        <v>6.9377770640843221E-3</v>
      </c>
      <c r="D28" s="37">
        <f t="shared" ref="D28:H28" si="9">D27/D9</f>
        <v>6.9488698418046797E-3</v>
      </c>
      <c r="E28" s="37">
        <f t="shared" si="9"/>
        <v>7.6751226641611865E-3</v>
      </c>
      <c r="F28" s="37">
        <f t="shared" si="9"/>
        <v>8.4791315175896647E-3</v>
      </c>
      <c r="G28" s="37">
        <f t="shared" si="9"/>
        <v>9.2238755298422615E-3</v>
      </c>
      <c r="H28" s="37">
        <f t="shared" si="9"/>
        <v>1.0851467599117683E-2</v>
      </c>
    </row>
    <row r="29" spans="2:8" outlineLevel="1" x14ac:dyDescent="0.3">
      <c r="B29" s="41"/>
      <c r="C29" s="37"/>
      <c r="D29" s="37"/>
      <c r="E29" s="37"/>
      <c r="F29" s="37"/>
      <c r="G29" s="37"/>
      <c r="H29" s="37"/>
    </row>
    <row r="30" spans="2:8" outlineLevel="1" x14ac:dyDescent="0.3">
      <c r="B30" s="38" t="s">
        <v>11</v>
      </c>
      <c r="C30" s="36">
        <f>IFERROR('Income Statement'!B6,0)</f>
        <v>731.98</v>
      </c>
      <c r="D30" s="36">
        <f>IFERROR('Income Statement'!C6,0)</f>
        <v>586.12</v>
      </c>
      <c r="E30" s="36">
        <f>IFERROR('Income Statement'!D6,0)</f>
        <v>416</v>
      </c>
      <c r="F30" s="36">
        <f>IFERROR('Income Statement'!E6,0)</f>
        <v>1058.3599999999999</v>
      </c>
      <c r="G30" s="36">
        <f>IFERROR('Income Statement'!F6,0)</f>
        <v>1352.86</v>
      </c>
      <c r="H30" s="36">
        <f>IFERROR('Income Statement'!G6,0)</f>
        <v>1297.9000000000001</v>
      </c>
    </row>
    <row r="31" spans="2:8" outlineLevel="1" x14ac:dyDescent="0.3">
      <c r="B31" s="41" t="s">
        <v>164</v>
      </c>
      <c r="C31" s="37">
        <f>C30/C9</f>
        <v>9.5252917720832098E-3</v>
      </c>
      <c r="D31" s="37">
        <f t="shared" ref="D31:H31" si="10">D30/D9</f>
        <v>6.1180868421363034E-3</v>
      </c>
      <c r="E31" s="37">
        <f t="shared" si="10"/>
        <v>4.1360316963198265E-3</v>
      </c>
      <c r="F31" s="37">
        <f t="shared" si="10"/>
        <v>1.0334036127726248E-2</v>
      </c>
      <c r="G31" s="37">
        <f t="shared" si="10"/>
        <v>1.212504591055074E-2</v>
      </c>
      <c r="H31" s="37">
        <f t="shared" si="10"/>
        <v>1.0358941017567421E-2</v>
      </c>
    </row>
    <row r="32" spans="2:8" outlineLevel="1" x14ac:dyDescent="0.3"/>
    <row r="33" spans="2:8" outlineLevel="1" x14ac:dyDescent="0.3">
      <c r="B33" s="43" t="s">
        <v>163</v>
      </c>
      <c r="C33" s="44">
        <f>C21-SUM(C27,C24)+C30</f>
        <v>10806.280000000004</v>
      </c>
      <c r="D33" s="44">
        <f t="shared" ref="D33:H33" si="11">D21-SUM(D27,D24)+D30</f>
        <v>11290.630000000008</v>
      </c>
      <c r="E33" s="44">
        <f t="shared" si="11"/>
        <v>12691.099999999995</v>
      </c>
      <c r="F33" s="44">
        <f t="shared" si="11"/>
        <v>14754.91</v>
      </c>
      <c r="G33" s="44">
        <f t="shared" si="11"/>
        <v>15487.299999999997</v>
      </c>
      <c r="H33" s="44">
        <f t="shared" si="11"/>
        <v>17661.679999999989</v>
      </c>
    </row>
    <row r="34" spans="2:8" outlineLevel="1" x14ac:dyDescent="0.3">
      <c r="B34" s="41" t="s">
        <v>160</v>
      </c>
      <c r="C34" s="37">
        <f>C33/C9</f>
        <v>0.14062265358456158</v>
      </c>
      <c r="D34" s="37">
        <f t="shared" ref="D34:H34" si="12">D33/D9</f>
        <v>0.11785479908965649</v>
      </c>
      <c r="E34" s="37">
        <f t="shared" si="12"/>
        <v>0.12617978812779934</v>
      </c>
      <c r="F34" s="37">
        <f t="shared" si="12"/>
        <v>0.14406985619387477</v>
      </c>
      <c r="G34" s="37">
        <f t="shared" si="12"/>
        <v>0.13880536310517902</v>
      </c>
      <c r="H34" s="37">
        <f t="shared" si="12"/>
        <v>0.14096332644360124</v>
      </c>
    </row>
    <row r="35" spans="2:8" outlineLevel="1" x14ac:dyDescent="0.3"/>
    <row r="36" spans="2:8" outlineLevel="1" x14ac:dyDescent="0.3">
      <c r="B36" s="38" t="s">
        <v>161</v>
      </c>
      <c r="C36" s="36">
        <f>IFERROR(SUM('Income Statement'!B19:B20),0)</f>
        <v>2742.71</v>
      </c>
      <c r="D36" s="36">
        <f>IFERROR(SUM('Income Statement'!C19:C20),0)</f>
        <v>2902.01</v>
      </c>
      <c r="E36" s="36">
        <f>IFERROR(SUM('Income Statement'!D19:D20),0)</f>
        <v>3213.38</v>
      </c>
      <c r="F36" s="36">
        <f>IFERROR(SUM('Income Statement'!E19:E20),0)</f>
        <v>3771.33</v>
      </c>
      <c r="G36" s="36">
        <f>IFERROR(SUM('Income Statement'!F19:F20),0)</f>
        <v>4018.03</v>
      </c>
      <c r="H36" s="36">
        <f>IFERROR(SUM('Income Statement'!G19:G20),0)</f>
        <v>4542.8500000000004</v>
      </c>
    </row>
    <row r="37" spans="2:8" outlineLevel="1" x14ac:dyDescent="0.3">
      <c r="B37" s="41" t="s">
        <v>162</v>
      </c>
      <c r="C37" s="37">
        <f>C36/C33</f>
        <v>0.25380704553278272</v>
      </c>
      <c r="D37" s="37">
        <f t="shared" ref="D37:H37" si="13">D36/D33</f>
        <v>0.2570281729186058</v>
      </c>
      <c r="E37" s="37">
        <f t="shared" si="13"/>
        <v>0.25319948625414673</v>
      </c>
      <c r="F37" s="37">
        <f t="shared" si="13"/>
        <v>0.25559830591985988</v>
      </c>
      <c r="G37" s="37">
        <f t="shared" si="13"/>
        <v>0.25944031561343817</v>
      </c>
      <c r="H37" s="37">
        <f t="shared" si="13"/>
        <v>0.25721505541941669</v>
      </c>
    </row>
    <row r="38" spans="2:8" outlineLevel="1" x14ac:dyDescent="0.3"/>
    <row r="39" spans="2:8" outlineLevel="1" x14ac:dyDescent="0.3">
      <c r="B39" s="43" t="s">
        <v>165</v>
      </c>
      <c r="C39" s="44">
        <f>C33-C36</f>
        <v>8063.5700000000043</v>
      </c>
      <c r="D39" s="44">
        <f t="shared" ref="D39:H39" si="14">D33-D36</f>
        <v>8388.6200000000081</v>
      </c>
      <c r="E39" s="44">
        <f t="shared" si="14"/>
        <v>9477.7199999999939</v>
      </c>
      <c r="F39" s="44">
        <f t="shared" si="14"/>
        <v>10983.58</v>
      </c>
      <c r="G39" s="44">
        <f t="shared" si="14"/>
        <v>11469.269999999997</v>
      </c>
      <c r="H39" s="44">
        <f t="shared" si="14"/>
        <v>13118.829999999989</v>
      </c>
    </row>
    <row r="40" spans="2:8" outlineLevel="1" x14ac:dyDescent="0.3">
      <c r="B40" s="41" t="s">
        <v>166</v>
      </c>
      <c r="C40" s="37">
        <f>C39/C9</f>
        <v>0.10493163334328404</v>
      </c>
      <c r="D40" s="37">
        <f t="shared" ref="D40:H40" si="15">D39/D9</f>
        <v>8.7562795409952709E-2</v>
      </c>
      <c r="E40" s="37">
        <f t="shared" si="15"/>
        <v>9.4231130598183471E-2</v>
      </c>
      <c r="F40" s="37">
        <f t="shared" si="15"/>
        <v>0.10724584501660255</v>
      </c>
      <c r="G40" s="37">
        <f t="shared" si="15"/>
        <v>0.10279365589233347</v>
      </c>
      <c r="H40" s="37">
        <f t="shared" si="15"/>
        <v>0.10470543662030501</v>
      </c>
    </row>
    <row r="41" spans="2:8" outlineLevel="1" x14ac:dyDescent="0.3"/>
    <row r="42" spans="2:8" outlineLevel="1" x14ac:dyDescent="0.3">
      <c r="B42" s="38" t="s">
        <v>167</v>
      </c>
      <c r="C42" s="80">
        <f>5287815/100000</f>
        <v>52.878149999999998</v>
      </c>
      <c r="D42" s="80">
        <f t="shared" ref="D42:H42" si="16">5287815/100000</f>
        <v>52.878149999999998</v>
      </c>
      <c r="E42" s="80">
        <f t="shared" si="16"/>
        <v>52.878149999999998</v>
      </c>
      <c r="F42" s="80">
        <f t="shared" si="16"/>
        <v>52.878149999999998</v>
      </c>
      <c r="G42" s="80">
        <f t="shared" si="16"/>
        <v>52.878149999999998</v>
      </c>
      <c r="H42" s="80">
        <f t="shared" si="16"/>
        <v>52.878149999999998</v>
      </c>
    </row>
    <row r="43" spans="2:8" outlineLevel="1" x14ac:dyDescent="0.3"/>
    <row r="44" spans="2:8" outlineLevel="1" x14ac:dyDescent="0.3">
      <c r="B44" s="40" t="s">
        <v>34</v>
      </c>
      <c r="C44" s="42">
        <f>IFERROR(C39/C42,0)</f>
        <v>152.49342119571136</v>
      </c>
      <c r="D44" s="42">
        <f t="shared" ref="D44:H44" si="17">IFERROR(D39/D42,0)</f>
        <v>158.640572712926</v>
      </c>
      <c r="E44" s="42">
        <f t="shared" si="17"/>
        <v>179.2369816266264</v>
      </c>
      <c r="F44" s="42">
        <f t="shared" si="17"/>
        <v>207.71490681878998</v>
      </c>
      <c r="G44" s="42">
        <f t="shared" si="17"/>
        <v>216.89998610011881</v>
      </c>
      <c r="H44" s="42">
        <f t="shared" si="17"/>
        <v>248.09547989103231</v>
      </c>
    </row>
    <row r="45" spans="2:8" outlineLevel="1" x14ac:dyDescent="0.3">
      <c r="B45" s="41" t="s">
        <v>168</v>
      </c>
      <c r="C45" s="37"/>
      <c r="D45" s="37">
        <f>IFERROR(D44/C44-1,0)</f>
        <v>4.0310929278223329E-2</v>
      </c>
      <c r="E45" s="37">
        <f t="shared" ref="E45:H45" si="18">IFERROR(E44/D44-1,0)</f>
        <v>0.12983065152551743</v>
      </c>
      <c r="F45" s="37">
        <f t="shared" si="18"/>
        <v>0.15888420421789262</v>
      </c>
      <c r="G45" s="37">
        <f t="shared" si="18"/>
        <v>4.4219644232572408E-2</v>
      </c>
      <c r="H45" s="37">
        <f t="shared" si="18"/>
        <v>0.14382432360559938</v>
      </c>
    </row>
    <row r="46" spans="2:8" outlineLevel="1" x14ac:dyDescent="0.3"/>
    <row r="47" spans="2:8" outlineLevel="1" x14ac:dyDescent="0.3">
      <c r="B47" s="38" t="s">
        <v>169</v>
      </c>
      <c r="C47" s="36">
        <f>IFERROR((('Cash Flow'!B40*-1)/HistoricalFS!C42),0)</f>
        <v>80.223116731580063</v>
      </c>
      <c r="D47" s="36">
        <f>IFERROR((('Cash Flow'!C40*-1)/HistoricalFS!D42),0)</f>
        <v>90.350551220116429</v>
      </c>
      <c r="E47" s="36">
        <f>IFERROR((('Cash Flow'!D40*-1)/HistoricalFS!E42),0)</f>
        <v>60.679127390046737</v>
      </c>
      <c r="F47" s="36">
        <f>IFERROR((('Cash Flow'!E40*-1)/HistoricalFS!F42),0)</f>
        <v>100.68487645653261</v>
      </c>
      <c r="G47" s="36">
        <f>IFERROR((('Cash Flow'!F40*-1)/HistoricalFS!G42),0)</f>
        <v>120.22546174554141</v>
      </c>
      <c r="H47" s="36">
        <f>IFERROR((('Cash Flow'!G40*-1)/HistoricalFS!H42),0)</f>
        <v>130.00000945570147</v>
      </c>
    </row>
    <row r="48" spans="2:8" outlineLevel="1" x14ac:dyDescent="0.3">
      <c r="B48" s="41" t="s">
        <v>170</v>
      </c>
      <c r="C48" s="37">
        <f>C47/C44</f>
        <v>0.52607591922684338</v>
      </c>
      <c r="D48" s="37">
        <f t="shared" ref="D48:H48" si="19">D47/D44</f>
        <v>0.56952991076005288</v>
      </c>
      <c r="E48" s="37">
        <f t="shared" si="19"/>
        <v>0.33854133694601674</v>
      </c>
      <c r="F48" s="37">
        <f t="shared" si="19"/>
        <v>0.48472629142774942</v>
      </c>
      <c r="G48" s="37">
        <f t="shared" si="19"/>
        <v>0.55428985454174517</v>
      </c>
      <c r="H48" s="37">
        <f t="shared" si="19"/>
        <v>0.523991849882955</v>
      </c>
    </row>
    <row r="49" spans="1:8" outlineLevel="1" x14ac:dyDescent="0.3"/>
    <row r="50" spans="1:8" outlineLevel="1" x14ac:dyDescent="0.3">
      <c r="B50" s="38" t="s">
        <v>171</v>
      </c>
      <c r="C50" s="47">
        <f>IFERROR(1-C48,0)</f>
        <v>0.47392408077315662</v>
      </c>
      <c r="D50" s="47">
        <f t="shared" ref="D50:H50" si="20">IFERROR(1-D48,0)</f>
        <v>0.43047008923994712</v>
      </c>
      <c r="E50" s="47">
        <f t="shared" si="20"/>
        <v>0.66145866305398326</v>
      </c>
      <c r="F50" s="47">
        <f t="shared" si="20"/>
        <v>0.51527370857225052</v>
      </c>
      <c r="G50" s="47">
        <f t="shared" si="20"/>
        <v>0.44571014545825483</v>
      </c>
      <c r="H50" s="47">
        <f t="shared" si="20"/>
        <v>0.476008150117045</v>
      </c>
    </row>
    <row r="52" spans="1:8" x14ac:dyDescent="0.3">
      <c r="A52" t="s">
        <v>145</v>
      </c>
      <c r="B52" s="45" t="s">
        <v>178</v>
      </c>
      <c r="C52" s="46"/>
      <c r="D52" s="46"/>
      <c r="E52" s="46"/>
      <c r="F52" s="46"/>
      <c r="G52" s="46"/>
      <c r="H52" s="46"/>
    </row>
    <row r="53" spans="1:8" outlineLevel="1" x14ac:dyDescent="0.3">
      <c r="B53" s="40" t="s">
        <v>38</v>
      </c>
    </row>
    <row r="54" spans="1:8" outlineLevel="1" x14ac:dyDescent="0.3">
      <c r="B54" s="38" t="s">
        <v>39</v>
      </c>
      <c r="C54" s="36">
        <f>IFERROR('Balance Sheet'!B7,0)</f>
        <v>3891.85</v>
      </c>
      <c r="D54" s="36">
        <f>IFERROR('Balance Sheet'!C7,0)</f>
        <v>5162.0600000000004</v>
      </c>
      <c r="E54" s="36">
        <f>IFERROR('Balance Sheet'!D7,0)</f>
        <v>6601.99</v>
      </c>
      <c r="F54" s="36">
        <f>IFERROR('Balance Sheet'!E7,0)</f>
        <v>7195.46</v>
      </c>
      <c r="G54" s="36">
        <f>IFERROR('Balance Sheet'!F7,0)</f>
        <v>8432.0400000000009</v>
      </c>
      <c r="H54" s="36">
        <f>IFERROR('Balance Sheet'!G7,0)</f>
        <v>11997.55</v>
      </c>
    </row>
    <row r="55" spans="1:8" outlineLevel="1" x14ac:dyDescent="0.3">
      <c r="B55" s="38" t="s">
        <v>40</v>
      </c>
      <c r="C55" s="36">
        <f>IFERROR('Balance Sheet'!B8,0)</f>
        <v>277.98</v>
      </c>
      <c r="D55" s="36">
        <f>IFERROR('Balance Sheet'!C8,0)</f>
        <v>323.11</v>
      </c>
      <c r="E55" s="36">
        <f>IFERROR('Balance Sheet'!D8,0)</f>
        <v>215.95</v>
      </c>
      <c r="F55" s="36">
        <f>IFERROR('Balance Sheet'!E8,0)</f>
        <v>1188.22</v>
      </c>
      <c r="G55" s="36">
        <f>IFERROR('Balance Sheet'!F8,0)</f>
        <v>2245.13</v>
      </c>
      <c r="H55" s="36">
        <f>IFERROR('Balance Sheet'!G8,0)</f>
        <v>1194.98</v>
      </c>
    </row>
    <row r="56" spans="1:8" outlineLevel="1" x14ac:dyDescent="0.3">
      <c r="B56" s="38" t="s">
        <v>41</v>
      </c>
      <c r="C56" s="36">
        <f>IFERROR('Balance Sheet'!B9,0)</f>
        <v>9.49</v>
      </c>
      <c r="D56" s="36">
        <f>IFERROR('Balance Sheet'!C9,0)</f>
        <v>17.190000000000001</v>
      </c>
      <c r="E56" s="36">
        <f>IFERROR('Balance Sheet'!D9,0)</f>
        <v>15.28</v>
      </c>
      <c r="F56" s="36">
        <f>IFERROR('Balance Sheet'!E9,0)</f>
        <v>11.87</v>
      </c>
      <c r="G56" s="36">
        <f>IFERROR('Balance Sheet'!F9,0)</f>
        <v>45.98</v>
      </c>
      <c r="H56" s="36">
        <f>IFERROR('Balance Sheet'!G9,0)</f>
        <v>68.94</v>
      </c>
    </row>
    <row r="57" spans="1:8" outlineLevel="1" x14ac:dyDescent="0.3">
      <c r="B57" s="38" t="s">
        <v>43</v>
      </c>
      <c r="C57" s="36">
        <f>IFERROR('Balance Sheet'!B11,0)</f>
        <v>0.25</v>
      </c>
      <c r="D57" s="36">
        <f>IFERROR('Balance Sheet'!C11,0)</f>
        <v>0.25</v>
      </c>
      <c r="E57" s="36">
        <f>IFERROR('Balance Sheet'!D11,0)</f>
        <v>0.25</v>
      </c>
      <c r="F57" s="36">
        <f>IFERROR('Balance Sheet'!E11,0)</f>
        <v>0.25</v>
      </c>
      <c r="G57" s="36">
        <f>IFERROR('Balance Sheet'!F11,0)</f>
        <v>0.25</v>
      </c>
      <c r="H57" s="36">
        <f>IFERROR('Balance Sheet'!G11,0)</f>
        <v>0.25</v>
      </c>
    </row>
    <row r="58" spans="1:8" outlineLevel="1" x14ac:dyDescent="0.3">
      <c r="B58" s="38" t="s">
        <v>44</v>
      </c>
      <c r="C58" s="36">
        <f>IFERROR('Balance Sheet'!B12,0)</f>
        <v>1109.6199999999999</v>
      </c>
      <c r="D58" s="36">
        <f>IFERROR('Balance Sheet'!C12,0)</f>
        <v>130.47</v>
      </c>
      <c r="E58" s="36">
        <f>IFERROR('Balance Sheet'!D12,0)</f>
        <v>779.34</v>
      </c>
      <c r="F58" s="36">
        <f>IFERROR('Balance Sheet'!E12,0)</f>
        <v>445.84</v>
      </c>
      <c r="G58" s="36">
        <f>IFERROR('Balance Sheet'!F12,0)</f>
        <v>936.04</v>
      </c>
      <c r="H58" s="36">
        <f>IFERROR('Balance Sheet'!G12,0)</f>
        <v>543.14</v>
      </c>
    </row>
    <row r="59" spans="1:8" outlineLevel="1" x14ac:dyDescent="0.3">
      <c r="B59" s="38" t="s">
        <v>45</v>
      </c>
      <c r="C59" s="36">
        <f>IFERROR('Balance Sheet'!B13,0)</f>
        <v>208.62</v>
      </c>
      <c r="D59" s="36">
        <f>IFERROR('Balance Sheet'!C13,0)</f>
        <v>316.70999999999998</v>
      </c>
      <c r="E59" s="36">
        <f>IFERROR('Balance Sheet'!D13,0)</f>
        <v>296.08</v>
      </c>
      <c r="F59" s="36">
        <f>IFERROR('Balance Sheet'!E13,0)</f>
        <v>315.17</v>
      </c>
      <c r="G59" s="36">
        <f>IFERROR('Balance Sheet'!F13,0)</f>
        <v>443.25</v>
      </c>
      <c r="H59" s="36">
        <f>IFERROR('Balance Sheet'!G13,0)</f>
        <v>421.74</v>
      </c>
    </row>
    <row r="60" spans="1:8" outlineLevel="1" x14ac:dyDescent="0.3">
      <c r="B60" s="38" t="s">
        <v>46</v>
      </c>
      <c r="C60" s="36">
        <f>IFERROR('Balance Sheet'!B14,0)</f>
        <v>85.79</v>
      </c>
      <c r="D60" s="36">
        <f>IFERROR('Balance Sheet'!C14,0)</f>
        <v>36.299999999999997</v>
      </c>
      <c r="E60" s="36">
        <f>IFERROR('Balance Sheet'!D14,0)</f>
        <v>113.8</v>
      </c>
      <c r="F60" s="36">
        <f>IFERROR('Balance Sheet'!E14,0)</f>
        <v>88.29</v>
      </c>
      <c r="G60" s="36">
        <f>IFERROR('Balance Sheet'!F14,0)</f>
        <v>18.97</v>
      </c>
      <c r="H60" s="36">
        <f>IFERROR('Balance Sheet'!G14,0)</f>
        <v>0</v>
      </c>
    </row>
    <row r="61" spans="1:8" outlineLevel="1" x14ac:dyDescent="0.3">
      <c r="B61" s="38" t="s">
        <v>47</v>
      </c>
      <c r="C61" s="36">
        <f>IFERROR('Balance Sheet'!B15,0)</f>
        <v>364.97</v>
      </c>
      <c r="D61" s="36">
        <f>IFERROR('Balance Sheet'!C15,0)</f>
        <v>521.32000000000005</v>
      </c>
      <c r="E61" s="36">
        <f>IFERROR('Balance Sheet'!D15,0)</f>
        <v>556.08000000000004</v>
      </c>
      <c r="F61" s="36">
        <f>IFERROR('Balance Sheet'!E15,0)</f>
        <v>684.15</v>
      </c>
      <c r="G61" s="36">
        <f>IFERROR('Balance Sheet'!F15,0)</f>
        <v>625.92999999999995</v>
      </c>
      <c r="H61" s="36">
        <f>IFERROR('Balance Sheet'!G15,0)</f>
        <v>668.89</v>
      </c>
    </row>
    <row r="62" spans="1:8" outlineLevel="1" x14ac:dyDescent="0.3"/>
    <row r="63" spans="1:8" outlineLevel="1" x14ac:dyDescent="0.3">
      <c r="B63" s="40" t="s">
        <v>49</v>
      </c>
    </row>
    <row r="64" spans="1:8" outlineLevel="1" x14ac:dyDescent="0.3">
      <c r="B64" s="38" t="s">
        <v>50</v>
      </c>
      <c r="C64" s="36">
        <f>IFERROR('Balance Sheet'!B18,0)</f>
        <v>9717.5300000000007</v>
      </c>
      <c r="D64" s="36">
        <f>IFERROR('Balance Sheet'!C18,0)</f>
        <v>17810.07</v>
      </c>
      <c r="E64" s="36">
        <f>IFERROR('Balance Sheet'!D18,0)</f>
        <v>16956.37</v>
      </c>
      <c r="F64" s="36">
        <f>IFERROR('Balance Sheet'!E18,0)</f>
        <v>14045.67</v>
      </c>
      <c r="G64" s="36">
        <f>IFERROR('Balance Sheet'!F18,0)</f>
        <v>15016.63</v>
      </c>
      <c r="H64" s="36">
        <f>IFERROR('Balance Sheet'!G18,0)</f>
        <v>19296.57</v>
      </c>
    </row>
    <row r="65" spans="2:8" outlineLevel="1" x14ac:dyDescent="0.3">
      <c r="B65" s="38" t="s">
        <v>51</v>
      </c>
      <c r="C65" s="36">
        <f>IFERROR('Balance Sheet'!B20,0)</f>
        <v>4000.29</v>
      </c>
      <c r="D65" s="36">
        <f>IFERROR('Balance Sheet'!C20,0)</f>
        <v>5282.95</v>
      </c>
      <c r="E65" s="36">
        <f>IFERROR('Balance Sheet'!D20,0)</f>
        <v>4741.5600000000004</v>
      </c>
      <c r="F65" s="36">
        <f>IFERROR('Balance Sheet'!E20,0)</f>
        <v>4770.8100000000004</v>
      </c>
      <c r="G65" s="36">
        <f>IFERROR('Balance Sheet'!F20,0)</f>
        <v>6099.88</v>
      </c>
      <c r="H65" s="36">
        <f>IFERROR('Balance Sheet'!G20,0)</f>
        <v>5760.91</v>
      </c>
    </row>
    <row r="66" spans="2:8" outlineLevel="1" x14ac:dyDescent="0.3">
      <c r="B66" s="38" t="s">
        <v>52</v>
      </c>
      <c r="C66" s="36">
        <f>IFERROR('Balance Sheet'!B21,0)</f>
        <v>2133.5700000000002</v>
      </c>
      <c r="D66" s="36">
        <f>IFERROR('Balance Sheet'!C21,0)</f>
        <v>315.42</v>
      </c>
      <c r="E66" s="36">
        <f>IFERROR('Balance Sheet'!D21,0)</f>
        <v>1144.31</v>
      </c>
      <c r="F66" s="36">
        <f>IFERROR('Balance Sheet'!E21,0)</f>
        <v>1206.21</v>
      </c>
      <c r="G66" s="36">
        <f>IFERROR('Balance Sheet'!F21,0)</f>
        <v>1074.26</v>
      </c>
      <c r="H66" s="36">
        <f>IFERROR('Balance Sheet'!G21,0)</f>
        <v>1569.45</v>
      </c>
    </row>
    <row r="67" spans="2:8" outlineLevel="1" x14ac:dyDescent="0.3">
      <c r="B67" s="38" t="s">
        <v>53</v>
      </c>
      <c r="C67" s="36">
        <f>IFERROR('Balance Sheet'!B22,0)</f>
        <v>14574.68</v>
      </c>
      <c r="D67" s="36">
        <f>IFERROR('Balance Sheet'!C22,0)</f>
        <v>6198.47</v>
      </c>
      <c r="E67" s="36">
        <f>IFERROR('Balance Sheet'!D22,0)</f>
        <v>8710.34</v>
      </c>
      <c r="F67" s="36">
        <f>IFERROR('Balance Sheet'!E22,0)</f>
        <v>17628.87</v>
      </c>
      <c r="G67" s="36">
        <f>IFERROR('Balance Sheet'!F22,0)</f>
        <v>17900.060000000001</v>
      </c>
      <c r="H67" s="36">
        <f>IFERROR('Balance Sheet'!G22,0)</f>
        <v>17522.66</v>
      </c>
    </row>
    <row r="68" spans="2:8" outlineLevel="1" x14ac:dyDescent="0.3">
      <c r="B68" s="38" t="s">
        <v>54</v>
      </c>
      <c r="C68" s="36">
        <f>IFERROR('Balance Sheet'!B23,0)</f>
        <v>523.47</v>
      </c>
      <c r="D68" s="36">
        <f>IFERROR('Balance Sheet'!C23,0)</f>
        <v>242.07</v>
      </c>
      <c r="E68" s="36">
        <f>IFERROR('Balance Sheet'!D23,0)</f>
        <v>237.07</v>
      </c>
      <c r="F68" s="36">
        <f>IFERROR('Balance Sheet'!E23,0)</f>
        <v>490.93</v>
      </c>
      <c r="G68" s="36">
        <f>IFERROR('Balance Sheet'!F23,0)</f>
        <v>592.71</v>
      </c>
      <c r="H68" s="36">
        <f>IFERROR('Balance Sheet'!G23,0)</f>
        <v>454.39</v>
      </c>
    </row>
    <row r="69" spans="2:8" outlineLevel="1" x14ac:dyDescent="0.3">
      <c r="B69" s="38" t="s">
        <v>55</v>
      </c>
      <c r="C69" s="36">
        <f>IFERROR('Balance Sheet'!B24,0)</f>
        <v>2306.33</v>
      </c>
      <c r="D69" s="36">
        <f>IFERROR('Balance Sheet'!C24,0)</f>
        <v>4618.8900000000003</v>
      </c>
      <c r="E69" s="36">
        <f>IFERROR('Balance Sheet'!D24,0)</f>
        <v>5669.81</v>
      </c>
      <c r="F69" s="36">
        <f>IFERROR('Balance Sheet'!E24,0)</f>
        <v>4548.34</v>
      </c>
      <c r="G69" s="36">
        <f>IFERROR('Balance Sheet'!F24,0)</f>
        <v>4959.6099999999997</v>
      </c>
      <c r="H69" s="36">
        <f>IFERROR('Balance Sheet'!G24,0)</f>
        <v>9322.4599999999991</v>
      </c>
    </row>
    <row r="70" spans="2:8" outlineLevel="1" x14ac:dyDescent="0.3"/>
    <row r="71" spans="2:8" outlineLevel="1" x14ac:dyDescent="0.3">
      <c r="B71" s="54" t="s">
        <v>57</v>
      </c>
      <c r="C71" s="55">
        <f>IFERROR(SUM(C54:C69),0)</f>
        <v>39204.44</v>
      </c>
      <c r="D71" s="55">
        <f t="shared" ref="D71:H71" si="21">IFERROR(SUM(D54:D69),0)</f>
        <v>40975.279999999999</v>
      </c>
      <c r="E71" s="55">
        <f t="shared" si="21"/>
        <v>46038.23</v>
      </c>
      <c r="F71" s="55">
        <f t="shared" si="21"/>
        <v>52620.08</v>
      </c>
      <c r="G71" s="55">
        <f t="shared" si="21"/>
        <v>58390.74</v>
      </c>
      <c r="H71" s="55">
        <f t="shared" si="21"/>
        <v>68821.929999999993</v>
      </c>
    </row>
    <row r="72" spans="2:8" outlineLevel="1" x14ac:dyDescent="0.3"/>
    <row r="73" spans="2:8" outlineLevel="1" x14ac:dyDescent="0.3">
      <c r="B73" s="40" t="s">
        <v>59</v>
      </c>
    </row>
    <row r="74" spans="2:8" outlineLevel="1" x14ac:dyDescent="0.3">
      <c r="B74" s="38" t="s">
        <v>60</v>
      </c>
      <c r="C74" s="36">
        <f>IFERROR('Balance Sheet'!B29,0)</f>
        <v>528.78</v>
      </c>
      <c r="D74" s="36">
        <f>IFERROR('Balance Sheet'!C29,0)</f>
        <v>528.78</v>
      </c>
      <c r="E74" s="36">
        <f>IFERROR('Balance Sheet'!D29,0)</f>
        <v>528.78</v>
      </c>
      <c r="F74" s="36">
        <f>IFERROR('Balance Sheet'!E29,0)</f>
        <v>528.78</v>
      </c>
      <c r="G74" s="36">
        <f>IFERROR('Balance Sheet'!F29,0)</f>
        <v>528.78</v>
      </c>
      <c r="H74" s="36">
        <f>IFERROR('Balance Sheet'!G29,0)</f>
        <v>528.78</v>
      </c>
    </row>
    <row r="75" spans="2:8" outlineLevel="1" x14ac:dyDescent="0.3">
      <c r="B75" s="38" t="s">
        <v>61</v>
      </c>
      <c r="C75" s="36">
        <f>IFERROR('Balance Sheet'!B30,0)</f>
        <v>17233.66</v>
      </c>
      <c r="D75" s="36">
        <f>IFERROR('Balance Sheet'!C30,0)</f>
        <v>20789.2</v>
      </c>
      <c r="E75" s="36">
        <f>IFERROR('Balance Sheet'!D30,0)</f>
        <v>27084.25</v>
      </c>
      <c r="F75" s="36">
        <f>IFERROR('Balance Sheet'!E30,0)</f>
        <v>32819.24</v>
      </c>
      <c r="G75" s="36">
        <f>IFERROR('Balance Sheet'!F30,0)</f>
        <v>37795.72</v>
      </c>
      <c r="H75" s="36">
        <f>IFERROR('Balance Sheet'!G30,0)</f>
        <v>43995.81</v>
      </c>
    </row>
    <row r="76" spans="2:8" outlineLevel="1" x14ac:dyDescent="0.3"/>
    <row r="77" spans="2:8" outlineLevel="1" x14ac:dyDescent="0.3">
      <c r="B77" s="40" t="s">
        <v>64</v>
      </c>
    </row>
    <row r="78" spans="2:8" outlineLevel="1" x14ac:dyDescent="0.3">
      <c r="B78" s="38" t="s">
        <v>66</v>
      </c>
      <c r="C78" s="36">
        <f>IFERROR('Balance Sheet'!B35,0)</f>
        <v>2305.7600000000002</v>
      </c>
      <c r="D78" s="36">
        <f>IFERROR('Balance Sheet'!C35,0)</f>
        <v>3437.12</v>
      </c>
      <c r="E78" s="36">
        <f>IFERROR('Balance Sheet'!D35,0)</f>
        <v>2077.63</v>
      </c>
      <c r="F78" s="36">
        <f>IFERROR('Balance Sheet'!E35,0)</f>
        <v>1347.56</v>
      </c>
      <c r="G78" s="36">
        <f>IFERROR('Balance Sheet'!F35,0)</f>
        <v>1625.45</v>
      </c>
      <c r="H78" s="36">
        <f>IFERROR('Balance Sheet'!G35,0)</f>
        <v>2041.62</v>
      </c>
    </row>
    <row r="79" spans="2:8" outlineLevel="1" x14ac:dyDescent="0.3">
      <c r="B79" s="38" t="s">
        <v>67</v>
      </c>
      <c r="C79" s="36">
        <f>IFERROR('Balance Sheet'!B36,0)</f>
        <v>0</v>
      </c>
      <c r="D79" s="36">
        <f>IFERROR('Balance Sheet'!C36,0)</f>
        <v>0</v>
      </c>
      <c r="E79" s="36">
        <f>IFERROR('Balance Sheet'!D36,0)</f>
        <v>124.97</v>
      </c>
      <c r="F79" s="36">
        <f>IFERROR('Balance Sheet'!E36,0)</f>
        <v>51.27</v>
      </c>
      <c r="G79" s="36">
        <f>IFERROR('Balance Sheet'!F36,0)</f>
        <v>76.56</v>
      </c>
      <c r="H79" s="36">
        <f>IFERROR('Balance Sheet'!G36,0)</f>
        <v>105.26</v>
      </c>
    </row>
    <row r="80" spans="2:8" outlineLevel="1" x14ac:dyDescent="0.3">
      <c r="B80" s="38" t="s">
        <v>68</v>
      </c>
      <c r="C80" s="36">
        <f>IFERROR('Balance Sheet'!B37,0)</f>
        <v>562.07000000000005</v>
      </c>
      <c r="D80" s="36">
        <f>IFERROR('Balance Sheet'!C37,0)</f>
        <v>618.39</v>
      </c>
      <c r="E80" s="36">
        <f>IFERROR('Balance Sheet'!D37,0)</f>
        <v>843.92</v>
      </c>
      <c r="F80" s="36">
        <f>IFERROR('Balance Sheet'!E37,0)</f>
        <v>895.69</v>
      </c>
      <c r="G80" s="36">
        <f>IFERROR('Balance Sheet'!F37,0)</f>
        <v>830.86</v>
      </c>
      <c r="H80" s="36">
        <f>IFERROR('Balance Sheet'!G37,0)</f>
        <v>792.95</v>
      </c>
    </row>
    <row r="81" spans="1:8" outlineLevel="1" x14ac:dyDescent="0.3">
      <c r="B81" s="38" t="s">
        <v>69</v>
      </c>
      <c r="C81" s="36">
        <f>IFERROR('Balance Sheet'!B38,0)</f>
        <v>0</v>
      </c>
      <c r="D81" s="36">
        <f>IFERROR('Balance Sheet'!C38,0)</f>
        <v>0</v>
      </c>
      <c r="E81" s="36">
        <f>IFERROR('Balance Sheet'!D38,0)</f>
        <v>0</v>
      </c>
      <c r="F81" s="36">
        <f>IFERROR('Balance Sheet'!E38,0)</f>
        <v>0</v>
      </c>
      <c r="G81" s="36">
        <f>IFERROR('Balance Sheet'!F38,0)</f>
        <v>0</v>
      </c>
      <c r="H81" s="36">
        <f>IFERROR('Balance Sheet'!G38,0)</f>
        <v>45.88</v>
      </c>
    </row>
    <row r="82" spans="1:8" outlineLevel="1" x14ac:dyDescent="0.3"/>
    <row r="83" spans="1:8" outlineLevel="1" x14ac:dyDescent="0.3">
      <c r="B83" s="40" t="s">
        <v>71</v>
      </c>
    </row>
    <row r="84" spans="1:8" outlineLevel="1" x14ac:dyDescent="0.3">
      <c r="B84" s="38" t="s">
        <v>66</v>
      </c>
      <c r="C84" s="36">
        <f>IFERROR('Balance Sheet'!B42,0)</f>
        <v>1447.01</v>
      </c>
      <c r="D84" s="36">
        <f>IFERROR('Balance Sheet'!C42,0)</f>
        <v>902.71</v>
      </c>
      <c r="E84" s="36">
        <f>IFERROR('Balance Sheet'!D42,0)</f>
        <v>2153.52</v>
      </c>
      <c r="F84" s="36">
        <f>IFERROR('Balance Sheet'!E42,0)</f>
        <v>1788.33</v>
      </c>
      <c r="G84" s="36">
        <f>IFERROR('Balance Sheet'!F42,0)</f>
        <v>687.18</v>
      </c>
      <c r="H84" s="36">
        <f>IFERROR('Balance Sheet'!G42,0)</f>
        <v>897.19</v>
      </c>
    </row>
    <row r="85" spans="1:8" outlineLevel="1" x14ac:dyDescent="0.3">
      <c r="B85" s="38" t="s">
        <v>72</v>
      </c>
      <c r="C85" s="36">
        <f>IFERROR('Balance Sheet'!B43,0)</f>
        <v>774.79</v>
      </c>
      <c r="D85" s="36">
        <f>IFERROR('Balance Sheet'!C43,0)</f>
        <v>2488.83</v>
      </c>
      <c r="E85" s="36">
        <f>IFERROR('Balance Sheet'!D43,0)</f>
        <v>1659.36</v>
      </c>
      <c r="F85" s="36">
        <f>IFERROR('Balance Sheet'!E43,0)</f>
        <v>2383.9</v>
      </c>
      <c r="G85" s="36">
        <f>IFERROR('Balance Sheet'!F43,0)</f>
        <v>3458.73</v>
      </c>
      <c r="H85" s="36">
        <f>IFERROR('Balance Sheet'!G43,0)</f>
        <v>3705.41</v>
      </c>
    </row>
    <row r="86" spans="1:8" outlineLevel="1" x14ac:dyDescent="0.3">
      <c r="B86" s="38" t="s">
        <v>73</v>
      </c>
      <c r="C86" s="36">
        <f>IFERROR('Balance Sheet'!B44,0)</f>
        <v>6880.6</v>
      </c>
      <c r="D86" s="36">
        <f>IFERROR('Balance Sheet'!C44,0)</f>
        <v>4722.8</v>
      </c>
      <c r="E86" s="36">
        <f>IFERROR('Balance Sheet'!D44,0)</f>
        <v>4388.55</v>
      </c>
      <c r="F86" s="36">
        <f>IFERROR('Balance Sheet'!E44,0)</f>
        <v>4488.53</v>
      </c>
      <c r="G86" s="36">
        <f>IFERROR('Balance Sheet'!F44,0)</f>
        <v>4450.9399999999996</v>
      </c>
      <c r="H86" s="36">
        <f>IFERROR('Balance Sheet'!G44,0)</f>
        <v>5939</v>
      </c>
    </row>
    <row r="87" spans="1:8" outlineLevel="1" x14ac:dyDescent="0.3">
      <c r="B87" s="38" t="s">
        <v>74</v>
      </c>
      <c r="C87" s="36">
        <f>IFERROR('Balance Sheet'!B45,0)</f>
        <v>4490.58</v>
      </c>
      <c r="D87" s="36">
        <f>IFERROR('Balance Sheet'!C45,0)</f>
        <v>4179.3900000000003</v>
      </c>
      <c r="E87" s="36">
        <f>IFERROR('Balance Sheet'!D45,0)</f>
        <v>3936.55</v>
      </c>
      <c r="F87" s="36">
        <f>IFERROR('Balance Sheet'!E45,0)</f>
        <v>4983.1400000000003</v>
      </c>
      <c r="G87" s="36">
        <f>IFERROR('Balance Sheet'!F45,0)</f>
        <v>5142.97</v>
      </c>
      <c r="H87" s="36">
        <f>IFERROR('Balance Sheet'!G45,0)</f>
        <v>5572.98</v>
      </c>
    </row>
    <row r="88" spans="1:8" outlineLevel="1" x14ac:dyDescent="0.3">
      <c r="B88" s="38" t="s">
        <v>75</v>
      </c>
      <c r="C88" s="36">
        <f>IFERROR('Balance Sheet'!B46,0)</f>
        <v>4722.1400000000003</v>
      </c>
      <c r="D88" s="36">
        <f>IFERROR('Balance Sheet'!C46,0)</f>
        <v>3095.98</v>
      </c>
      <c r="E88" s="36">
        <f>IFERROR('Balance Sheet'!D46,0)</f>
        <v>2876.28</v>
      </c>
      <c r="F88" s="36">
        <f>IFERROR('Balance Sheet'!E46,0)</f>
        <v>2801</v>
      </c>
      <c r="G88" s="36">
        <f>IFERROR('Balance Sheet'!F46,0)</f>
        <v>3439.08</v>
      </c>
      <c r="H88" s="36">
        <f>IFERROR('Balance Sheet'!G46,0)</f>
        <v>4549.33</v>
      </c>
    </row>
    <row r="89" spans="1:8" outlineLevel="1" x14ac:dyDescent="0.3">
      <c r="B89" s="38" t="s">
        <v>68</v>
      </c>
      <c r="C89" s="36">
        <f>IFERROR('Balance Sheet'!B47,0)</f>
        <v>133.84</v>
      </c>
      <c r="D89" s="36">
        <f>IFERROR('Balance Sheet'!C47,0)</f>
        <v>161.04</v>
      </c>
      <c r="E89" s="36">
        <f>IFERROR('Balance Sheet'!D47,0)</f>
        <v>364.41</v>
      </c>
      <c r="F89" s="36">
        <f>IFERROR('Balance Sheet'!E47,0)</f>
        <v>329.91</v>
      </c>
      <c r="G89" s="36">
        <f>IFERROR('Balance Sheet'!F47,0)</f>
        <v>273.02</v>
      </c>
      <c r="H89" s="36">
        <f>IFERROR('Balance Sheet'!G47,0)</f>
        <v>270.47000000000003</v>
      </c>
    </row>
    <row r="90" spans="1:8" outlineLevel="1" x14ac:dyDescent="0.3">
      <c r="B90" s="38" t="s">
        <v>76</v>
      </c>
      <c r="C90" s="36">
        <f>IFERROR('Balance Sheet'!B48,0)</f>
        <v>125.21</v>
      </c>
      <c r="D90" s="36">
        <f>IFERROR('Balance Sheet'!C48,0)</f>
        <v>51.03</v>
      </c>
      <c r="E90" s="36">
        <f>IFERROR('Balance Sheet'!D48,0)</f>
        <v>0</v>
      </c>
      <c r="F90" s="36">
        <f>IFERROR('Balance Sheet'!E48,0)</f>
        <v>202.75</v>
      </c>
      <c r="G90" s="36">
        <f>IFERROR('Balance Sheet'!F48,0)</f>
        <v>81.45</v>
      </c>
      <c r="H90" s="36">
        <f>IFERROR('Balance Sheet'!G48,0)</f>
        <v>377.22</v>
      </c>
    </row>
    <row r="91" spans="1:8" outlineLevel="1" x14ac:dyDescent="0.3"/>
    <row r="92" spans="1:8" outlineLevel="1" x14ac:dyDescent="0.3">
      <c r="B92" s="54" t="s">
        <v>78</v>
      </c>
      <c r="C92" s="55">
        <f>IFERROR(SUM(C74:C90),0)</f>
        <v>39204.439999999995</v>
      </c>
      <c r="D92" s="55">
        <f t="shared" ref="D92:H92" si="22">IFERROR(SUM(D74:D90),0)</f>
        <v>40975.270000000004</v>
      </c>
      <c r="E92" s="55">
        <f t="shared" si="22"/>
        <v>46038.220000000008</v>
      </c>
      <c r="F92" s="55">
        <f t="shared" si="22"/>
        <v>52620.1</v>
      </c>
      <c r="G92" s="55">
        <f t="shared" si="22"/>
        <v>58390.74</v>
      </c>
      <c r="H92" s="55">
        <f t="shared" si="22"/>
        <v>68821.899999999994</v>
      </c>
    </row>
    <row r="93" spans="1:8" outlineLevel="1" x14ac:dyDescent="0.3"/>
    <row r="94" spans="1:8" outlineLevel="1" x14ac:dyDescent="0.3">
      <c r="B94" s="51" t="s">
        <v>143</v>
      </c>
      <c r="C94" s="53">
        <f t="shared" ref="C94:H94" si="23">C92-C71</f>
        <v>0</v>
      </c>
      <c r="D94" s="53">
        <f t="shared" si="23"/>
        <v>-9.9999999947613105E-3</v>
      </c>
      <c r="E94" s="53">
        <f t="shared" si="23"/>
        <v>-9.9999999947613105E-3</v>
      </c>
      <c r="F94" s="53">
        <f t="shared" si="23"/>
        <v>1.9999999996798579E-2</v>
      </c>
      <c r="G94" s="53">
        <f t="shared" si="23"/>
        <v>0</v>
      </c>
      <c r="H94" s="53">
        <f t="shared" si="23"/>
        <v>-2.9999999998835847E-2</v>
      </c>
    </row>
    <row r="96" spans="1:8" x14ac:dyDescent="0.3">
      <c r="A96" t="s">
        <v>145</v>
      </c>
      <c r="B96" s="45" t="s">
        <v>179</v>
      </c>
      <c r="C96" s="46"/>
      <c r="D96" s="46"/>
      <c r="E96" s="46"/>
      <c r="F96" s="46"/>
      <c r="G96" s="46"/>
      <c r="H96" s="46"/>
    </row>
    <row r="97" spans="2:8" outlineLevel="1" x14ac:dyDescent="0.3">
      <c r="B97" s="40" t="s">
        <v>180</v>
      </c>
    </row>
    <row r="98" spans="2:8" outlineLevel="1" x14ac:dyDescent="0.3">
      <c r="B98" s="38" t="s">
        <v>187</v>
      </c>
      <c r="C98" s="36">
        <f>IFERROR('Cash Flow'!B30,0)</f>
        <v>18893.91</v>
      </c>
      <c r="D98" s="52">
        <f>IFERROR('Cash Flow'!C30,0)</f>
        <v>-5215.1499999999996</v>
      </c>
      <c r="E98" s="52">
        <f>IFERROR('Cash Flow'!D30,0)</f>
        <v>9226.51</v>
      </c>
      <c r="F98" s="52">
        <f>IFERROR('Cash Flow'!E30,0)</f>
        <v>17425.990000000002</v>
      </c>
      <c r="G98" s="52">
        <f>IFERROR('Cash Flow'!F30,0)</f>
        <v>10191.25</v>
      </c>
      <c r="H98" s="52">
        <f>IFERROR('Cash Flow'!G30,0)</f>
        <v>8759.34</v>
      </c>
    </row>
    <row r="99" spans="2:8" outlineLevel="1" x14ac:dyDescent="0.3"/>
    <row r="100" spans="2:8" outlineLevel="1" x14ac:dyDescent="0.3">
      <c r="B100" s="40" t="s">
        <v>181</v>
      </c>
    </row>
    <row r="101" spans="2:8" outlineLevel="1" x14ac:dyDescent="0.3">
      <c r="B101" s="38" t="s">
        <v>186</v>
      </c>
      <c r="C101" s="52">
        <f>IFERROR('Cash Flow'!B37,0)</f>
        <v>-11938.89</v>
      </c>
      <c r="D101" s="52">
        <f>IFERROR('Cash Flow'!C37,0)</f>
        <v>8197.7000000000007</v>
      </c>
      <c r="E101" s="52">
        <f>IFERROR('Cash Flow'!D37,0)</f>
        <v>-4746.87</v>
      </c>
      <c r="F101" s="52">
        <f>IFERROR('Cash Flow'!E37,0)</f>
        <v>-10355.49</v>
      </c>
      <c r="G101" s="52">
        <f>IFERROR('Cash Flow'!F37,0)</f>
        <v>-2745.71</v>
      </c>
      <c r="H101" s="52">
        <f>IFERROR('Cash Flow'!G37,0)</f>
        <v>-1705.39</v>
      </c>
    </row>
    <row r="102" spans="2:8" outlineLevel="1" x14ac:dyDescent="0.3"/>
    <row r="103" spans="2:8" outlineLevel="1" x14ac:dyDescent="0.3">
      <c r="B103" s="40" t="s">
        <v>182</v>
      </c>
    </row>
    <row r="104" spans="2:8" outlineLevel="1" x14ac:dyDescent="0.3">
      <c r="B104" s="38" t="s">
        <v>107</v>
      </c>
      <c r="C104" s="52">
        <f>IFERROR('Cash Flow'!B43,0)</f>
        <v>-4015.77</v>
      </c>
      <c r="D104" s="52">
        <f>IFERROR('Cash Flow'!C43,0)</f>
        <v>-5127.96</v>
      </c>
      <c r="E104" s="52">
        <f>IFERROR('Cash Flow'!D43,0)</f>
        <v>-3324.81</v>
      </c>
      <c r="F104" s="52">
        <f>IFERROR('Cash Flow'!E43,0)</f>
        <v>-7007.27</v>
      </c>
      <c r="G104" s="52">
        <f>IFERROR('Cash Flow'!F43,0)</f>
        <v>-7577.48</v>
      </c>
      <c r="H104" s="52">
        <f>IFERROR('Cash Flow'!G43,0)</f>
        <v>-6558.76</v>
      </c>
    </row>
    <row r="105" spans="2:8" outlineLevel="1" x14ac:dyDescent="0.3"/>
    <row r="106" spans="2:8" ht="15" outlineLevel="1" thickBot="1" x14ac:dyDescent="0.35">
      <c r="B106" s="58" t="s">
        <v>185</v>
      </c>
      <c r="C106" s="59">
        <f>IFERROR('Cash Flow'!B44,0)</f>
        <v>2939.25</v>
      </c>
      <c r="D106" s="59">
        <f>IFERROR('Cash Flow'!C44,0)</f>
        <v>-2145.41</v>
      </c>
      <c r="E106" s="59">
        <f>IFERROR('Cash Flow'!D44,0)</f>
        <v>1154.83</v>
      </c>
      <c r="F106" s="59">
        <f>IFERROR('Cash Flow'!E44,0)</f>
        <v>63.22</v>
      </c>
      <c r="G106" s="59">
        <f>IFERROR('Cash Flow'!F44,0)</f>
        <v>-131.94999999999999</v>
      </c>
      <c r="H106" s="59">
        <f>IFERROR('Cash Flow'!G44,0)</f>
        <v>495.19</v>
      </c>
    </row>
    <row r="107" spans="2:8" ht="15" outlineLevel="1" thickTop="1" x14ac:dyDescent="0.3">
      <c r="B107" s="40"/>
      <c r="C107" s="57"/>
      <c r="D107" s="57"/>
      <c r="E107" s="57"/>
      <c r="F107" s="57"/>
      <c r="G107" s="57"/>
      <c r="H107" s="57"/>
    </row>
    <row r="108" spans="2:8" outlineLevel="1" x14ac:dyDescent="0.3">
      <c r="B108" s="38" t="s">
        <v>183</v>
      </c>
      <c r="C108" s="52">
        <f>IFERROR('Cash Flow'!B45,0)</f>
        <v>-805.68</v>
      </c>
      <c r="D108" s="52">
        <f>IFERROR('Cash Flow'!C45,0)</f>
        <v>2133.5700000000002</v>
      </c>
      <c r="E108" s="52">
        <f>IFERROR('Cash Flow'!D45,0)</f>
        <v>-11.84</v>
      </c>
      <c r="F108" s="52">
        <f>IFERROR('Cash Flow'!E45,0)</f>
        <v>1142.99</v>
      </c>
      <c r="G108" s="52">
        <f>IFERROR('Cash Flow'!F45,0)</f>
        <v>1206.21</v>
      </c>
      <c r="H108" s="52">
        <f>IFERROR('Cash Flow'!G45,0)</f>
        <v>1074.26</v>
      </c>
    </row>
    <row r="109" spans="2:8" outlineLevel="1" x14ac:dyDescent="0.3">
      <c r="B109" s="38" t="s">
        <v>184</v>
      </c>
      <c r="C109" s="52">
        <f>IFERROR('Cash Flow'!B46,0)</f>
        <v>2133.5700000000002</v>
      </c>
      <c r="D109" s="52">
        <f>IFERROR('Cash Flow'!C46,0)</f>
        <v>-11.84</v>
      </c>
      <c r="E109" s="52">
        <f>IFERROR('Cash Flow'!D46,0)</f>
        <v>1142.99</v>
      </c>
      <c r="F109" s="52">
        <f>IFERROR('Cash Flow'!E46,0)</f>
        <v>1206.21</v>
      </c>
      <c r="G109" s="52">
        <f>IFERROR('Cash Flow'!F46,0)</f>
        <v>1074.26</v>
      </c>
      <c r="H109" s="52">
        <f>IFERROR('Cash Flow'!G46,0)</f>
        <v>1569.45</v>
      </c>
    </row>
    <row r="110" spans="2:8" outlineLevel="1" x14ac:dyDescent="0.3"/>
    <row r="111" spans="2:8" outlineLevel="1" x14ac:dyDescent="0.3">
      <c r="B111" s="51" t="s">
        <v>143</v>
      </c>
      <c r="C111" s="56">
        <f>C106-SUM(C98:C104)</f>
        <v>0</v>
      </c>
      <c r="D111" s="56">
        <f t="shared" ref="D111:H111" si="24">D106-SUM(D98:D104)</f>
        <v>0</v>
      </c>
      <c r="E111" s="56">
        <f t="shared" si="24"/>
        <v>0</v>
      </c>
      <c r="F111" s="56">
        <f t="shared" si="24"/>
        <v>-1.0000000001383569E-2</v>
      </c>
      <c r="G111" s="56">
        <f t="shared" si="24"/>
        <v>-1.0000000000388809E-2</v>
      </c>
      <c r="H111" s="56">
        <f t="shared" si="24"/>
        <v>0</v>
      </c>
    </row>
  </sheetData>
  <mergeCells count="3">
    <mergeCell ref="B2:E4"/>
    <mergeCell ref="G4:H4"/>
    <mergeCell ref="B6:H6"/>
  </mergeCells>
  <pageMargins left="1" right="1" top="1" bottom="1" header="0.5" footer="0.5"/>
  <pageSetup scale="29" orientation="landscape" r:id="rId1"/>
  <ignoredErrors>
    <ignoredError sqref="C12 D12:H12 C36:H36" formulaRange="1"/>
  </ignoredError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9C094-2F8A-421B-9E37-00AB1B139AF8}">
  <sheetPr>
    <tabColor rgb="FF92D050"/>
    <pageSetUpPr fitToPage="1"/>
  </sheetPr>
  <dimension ref="B1:K44"/>
  <sheetViews>
    <sheetView showGridLines="0" zoomScaleNormal="100" workbookViewId="0">
      <pane xSplit="1" ySplit="7" topLeftCell="B8" activePane="bottomRight" state="frozen"/>
      <selection pane="topRight" activeCell="B1" sqref="B1"/>
      <selection pane="bottomLeft" activeCell="A4" sqref="A4"/>
      <selection pane="bottomRight" activeCell="H7" sqref="H7"/>
    </sheetView>
  </sheetViews>
  <sheetFormatPr defaultRowHeight="14.4" x14ac:dyDescent="0.3"/>
  <cols>
    <col min="1" max="1" width="1.88671875" customWidth="1"/>
    <col min="2" max="2" width="30.21875" bestFit="1" customWidth="1"/>
    <col min="9" max="9" width="17.88671875" customWidth="1"/>
  </cols>
  <sheetData>
    <row r="1" spans="2:11" ht="6.6" customHeight="1" thickBot="1" x14ac:dyDescent="0.35"/>
    <row r="2" spans="2:11" ht="15" customHeight="1" thickTop="1" x14ac:dyDescent="0.3">
      <c r="B2" s="224" t="s">
        <v>221</v>
      </c>
      <c r="C2" s="224"/>
      <c r="D2" s="224"/>
      <c r="E2" s="224"/>
      <c r="F2" s="224"/>
      <c r="G2" s="224"/>
      <c r="H2" s="224"/>
      <c r="I2" s="76"/>
      <c r="J2" s="76"/>
      <c r="K2" s="75"/>
    </row>
    <row r="3" spans="2:11" ht="14.4" customHeight="1" x14ac:dyDescent="0.3">
      <c r="B3" s="225"/>
      <c r="C3" s="225"/>
      <c r="D3" s="225"/>
      <c r="E3" s="225"/>
      <c r="F3" s="225"/>
      <c r="G3" s="225"/>
      <c r="H3" s="225"/>
      <c r="I3" s="77"/>
      <c r="J3" s="77"/>
    </row>
    <row r="4" spans="2:11" ht="15" customHeight="1" thickBot="1" x14ac:dyDescent="0.35">
      <c r="B4" s="226"/>
      <c r="C4" s="226"/>
      <c r="D4" s="226"/>
      <c r="E4" s="226"/>
      <c r="F4" s="226"/>
      <c r="G4" s="226"/>
      <c r="H4" s="226"/>
      <c r="I4" s="78"/>
      <c r="J4" s="229" t="s">
        <v>220</v>
      </c>
      <c r="K4" s="230"/>
    </row>
    <row r="5" spans="2:11" ht="4.2" customHeight="1" thickTop="1" x14ac:dyDescent="0.3"/>
    <row r="6" spans="2:11" ht="15.6" x14ac:dyDescent="0.3">
      <c r="B6" s="228" t="s">
        <v>222</v>
      </c>
      <c r="C6" s="228"/>
      <c r="D6" s="228"/>
      <c r="E6" s="228"/>
      <c r="F6" s="228"/>
      <c r="G6" s="228"/>
      <c r="H6" s="228"/>
      <c r="I6" s="228"/>
      <c r="J6" s="228"/>
      <c r="K6" s="228"/>
    </row>
    <row r="7" spans="2:11" x14ac:dyDescent="0.3">
      <c r="B7" s="39" t="s">
        <v>146</v>
      </c>
      <c r="C7" s="35">
        <v>2021</v>
      </c>
      <c r="D7" s="35">
        <f>C7+1</f>
        <v>2022</v>
      </c>
      <c r="E7" s="35">
        <f t="shared" ref="E7:H7" si="0">D7+1</f>
        <v>2023</v>
      </c>
      <c r="F7" s="35">
        <f t="shared" si="0"/>
        <v>2024</v>
      </c>
      <c r="G7" s="35">
        <f t="shared" si="0"/>
        <v>2025</v>
      </c>
      <c r="H7" s="35">
        <f t="shared" si="0"/>
        <v>2026</v>
      </c>
      <c r="I7" s="60" t="s">
        <v>196</v>
      </c>
      <c r="J7" s="35" t="s">
        <v>197</v>
      </c>
      <c r="K7" s="35" t="s">
        <v>198</v>
      </c>
    </row>
    <row r="9" spans="2:11" x14ac:dyDescent="0.3">
      <c r="B9" s="61" t="s">
        <v>201</v>
      </c>
      <c r="C9" s="61"/>
      <c r="D9" s="62">
        <f>IFERROR(HistoricalFS!D10,0)</f>
        <v>0.24666560133170345</v>
      </c>
      <c r="E9" s="62">
        <f>IFERROR(HistoricalFS!E10,0)</f>
        <v>4.9877355385669064E-2</v>
      </c>
      <c r="F9" s="62">
        <f>IFERROR(HistoricalFS!F10,0)</f>
        <v>1.8248947350106182E-2</v>
      </c>
      <c r="G9" s="62">
        <f>IFERROR(HistoricalFS!G10,0)</f>
        <v>8.9446786929684219E-2</v>
      </c>
      <c r="H9" s="62">
        <f>IFERROR(HistoricalFS!H10,0)</f>
        <v>0.12293962679674042</v>
      </c>
      <c r="I9" s="61"/>
      <c r="J9" s="63">
        <f>AVERAGE(D9:H9)</f>
        <v>0.10543566355878067</v>
      </c>
      <c r="K9" s="63">
        <f>MEDIAN(D9:H9)</f>
        <v>8.9446786929684219E-2</v>
      </c>
    </row>
    <row r="10" spans="2:11" x14ac:dyDescent="0.3">
      <c r="B10" t="s">
        <v>189</v>
      </c>
      <c r="D10" s="64">
        <f>IFERROR((HistoricalFS!D21/HistoricalFS!C21-1),0)</f>
        <v>8.0770369247318952E-2</v>
      </c>
      <c r="E10" s="64">
        <f>IFERROR((HistoricalFS!E21/HistoricalFS!D21-1),0)</f>
        <v>0.1300475203178364</v>
      </c>
      <c r="F10" s="64">
        <f>IFERROR((HistoricalFS!F21/HistoricalFS!E21-1),0)</f>
        <v>0.10984625411113447</v>
      </c>
      <c r="G10" s="64">
        <f>IFERROR((HistoricalFS!G21/HistoricalFS!F21-1),0)</f>
        <v>2.889155497085194E-2</v>
      </c>
      <c r="H10" s="64">
        <f>IFERROR((HistoricalFS!H21/HistoricalFS!G21-1),0)</f>
        <v>0.16968909486337069</v>
      </c>
      <c r="J10" s="65">
        <f t="shared" ref="J10:J13" si="1">AVERAGE(D10:H10)</f>
        <v>0.10384895870210249</v>
      </c>
      <c r="K10" s="65">
        <f t="shared" ref="K10:K13" si="2">MEDIAN(D10:H10)</f>
        <v>0.10984625411113447</v>
      </c>
    </row>
    <row r="11" spans="2:11" x14ac:dyDescent="0.3">
      <c r="B11" t="s">
        <v>190</v>
      </c>
      <c r="D11" s="64">
        <f>IFERROR((HistoricalFS!D21-HistoricalFS!D27)/(HistoricalFS!C21-HistoricalFS!C27)-1,0)</f>
        <v>7.2284404870029739E-2</v>
      </c>
      <c r="E11" s="64">
        <f>IFERROR((HistoricalFS!E21-HistoricalFS!E27)/(HistoricalFS!D21-HistoricalFS!D27)-1,0)</f>
        <v>0.12830784900735681</v>
      </c>
      <c r="F11" s="64">
        <f>IFERROR((HistoricalFS!F21-HistoricalFS!F27)/(HistoricalFS!E21-HistoricalFS!E27)-1,0)</f>
        <v>0.10893467101205934</v>
      </c>
      <c r="G11" s="64">
        <f>IFERROR((HistoricalFS!G21-HistoricalFS!G27)/(HistoricalFS!F21-HistoricalFS!F27)-1,0)</f>
        <v>1.9303865224847616E-2</v>
      </c>
      <c r="H11" s="64">
        <f>IFERROR((HistoricalFS!H21-HistoricalFS!H27)/(HistoricalFS!G21-HistoricalFS!G27)-1,0)</f>
        <v>0.15888732906982739</v>
      </c>
      <c r="J11" s="65">
        <f t="shared" si="1"/>
        <v>9.7543623836824175E-2</v>
      </c>
      <c r="K11" s="65">
        <f t="shared" si="2"/>
        <v>0.10893467101205934</v>
      </c>
    </row>
    <row r="12" spans="2:11" x14ac:dyDescent="0.3">
      <c r="B12" t="s">
        <v>191</v>
      </c>
      <c r="D12" s="64">
        <f>IFERROR(HistoricalFS!D39/HistoricalFS!C39-1,0)</f>
        <v>4.0310929278223329E-2</v>
      </c>
      <c r="E12" s="64">
        <f>IFERROR(HistoricalFS!E39/HistoricalFS!D39-1,0)</f>
        <v>0.1298306515255172</v>
      </c>
      <c r="F12" s="64">
        <f>IFERROR(HistoricalFS!F39/HistoricalFS!E39-1,0)</f>
        <v>0.15888420421789284</v>
      </c>
      <c r="G12" s="64">
        <f>IFERROR(HistoricalFS!G39/HistoricalFS!F39-1,0)</f>
        <v>4.4219644232572408E-2</v>
      </c>
      <c r="H12" s="64">
        <f>IFERROR(HistoricalFS!H39/HistoricalFS!G39-1,0)</f>
        <v>0.14382432360559938</v>
      </c>
      <c r="J12" s="65">
        <f t="shared" si="1"/>
        <v>0.10341395057196104</v>
      </c>
      <c r="K12" s="65">
        <f t="shared" si="2"/>
        <v>0.1298306515255172</v>
      </c>
    </row>
    <row r="13" spans="2:11" x14ac:dyDescent="0.3">
      <c r="B13" s="66" t="s">
        <v>188</v>
      </c>
      <c r="C13" s="66"/>
      <c r="D13" s="67">
        <f>IFERROR(HistoricalFS!D47/HistoricalFS!C47-1,0)</f>
        <v>0.12624085053217171</v>
      </c>
      <c r="E13" s="67">
        <f>IFERROR(HistoricalFS!E47/HistoricalFS!D47-1,0)</f>
        <v>-0.32840335149458821</v>
      </c>
      <c r="F13" s="67">
        <f>IFERROR(HistoricalFS!F47/HistoricalFS!E47-1,0)</f>
        <v>0.65930000623324814</v>
      </c>
      <c r="G13" s="67">
        <f>IFERROR(HistoricalFS!G47/HistoricalFS!F47-1,0)</f>
        <v>0.19407666748684749</v>
      </c>
      <c r="H13" s="67">
        <f>IFERROR(HistoricalFS!H47/HistoricalFS!G47-1,0)</f>
        <v>8.1301810517043549E-2</v>
      </c>
      <c r="I13" s="66"/>
      <c r="J13" s="68">
        <f t="shared" si="1"/>
        <v>0.14650319665494455</v>
      </c>
      <c r="K13" s="68">
        <f t="shared" si="2"/>
        <v>0.12624085053217171</v>
      </c>
    </row>
    <row r="15" spans="2:11" x14ac:dyDescent="0.3">
      <c r="B15" s="61" t="s">
        <v>192</v>
      </c>
      <c r="C15" s="62">
        <f>IFERROR(HistoricalFS!C16,0)</f>
        <v>0.52476721606892962</v>
      </c>
      <c r="D15" s="62">
        <f>IFERROR(HistoricalFS!D16,0)</f>
        <v>0.48975258031763491</v>
      </c>
      <c r="E15" s="62">
        <f>IFERROR(HistoricalFS!E16,0)</f>
        <v>0.49154847657822914</v>
      </c>
      <c r="F15" s="62">
        <f>IFERROR(HistoricalFS!F16,0)</f>
        <v>0.51862945426825779</v>
      </c>
      <c r="G15" s="62">
        <f>IFERROR(HistoricalFS!G16,0)</f>
        <v>0.51898030448576327</v>
      </c>
      <c r="H15" s="62">
        <f>IFERROR(HistoricalFS!H16,0)</f>
        <v>0.50792037175660543</v>
      </c>
      <c r="I15" s="61"/>
      <c r="J15" s="63">
        <f>AVERAGE(C15:H15)</f>
        <v>0.50859973391257007</v>
      </c>
      <c r="K15" s="63">
        <f>MEDIAN(C15:H15)</f>
        <v>0.51327491301243167</v>
      </c>
    </row>
    <row r="16" spans="2:11" x14ac:dyDescent="0.3">
      <c r="B16" t="s">
        <v>154</v>
      </c>
      <c r="C16" s="64">
        <f>IFERROR(HistoricalFS!C22,0)</f>
        <v>0.14419655742385357</v>
      </c>
      <c r="D16" s="64">
        <f>IFERROR(HistoricalFS!D22,0)</f>
        <v>0.12500815490914055</v>
      </c>
      <c r="E16" s="64">
        <f>IFERROR(HistoricalFS!E22,0)</f>
        <v>0.13455395980294191</v>
      </c>
      <c r="F16" s="64">
        <f>IFERROR(HistoricalFS!F22,0)</f>
        <v>0.14665785675668311</v>
      </c>
      <c r="G16" s="64">
        <f>IFERROR(HistoricalFS!G22,0)</f>
        <v>0.13850610428833668</v>
      </c>
      <c r="H16" s="64">
        <f>IFERROR(HistoricalFS!H22,0)</f>
        <v>0.14427229736314301</v>
      </c>
      <c r="J16" s="65">
        <f t="shared" ref="J16:J19" si="3">AVERAGE(C16:H16)</f>
        <v>0.13886582175734982</v>
      </c>
      <c r="K16" s="65">
        <f t="shared" ref="K16:K19" si="4">MEDIAN(C16:H16)</f>
        <v>0.14135133085609514</v>
      </c>
    </row>
    <row r="17" spans="2:11" x14ac:dyDescent="0.3">
      <c r="B17" t="s">
        <v>193</v>
      </c>
      <c r="C17" s="64">
        <f>IFERROR((HistoricalFS!C21-HistoricalFS!C27)/HistoricalFS!C9,0)</f>
        <v>0.13725878035976924</v>
      </c>
      <c r="D17" s="64">
        <f>IFERROR((HistoricalFS!D21-HistoricalFS!D27)/HistoricalFS!D9,0)</f>
        <v>0.11805928506733589</v>
      </c>
      <c r="E17" s="64">
        <f>IFERROR((HistoricalFS!E21-HistoricalFS!E27)/HistoricalFS!E9,0)</f>
        <v>0.12687883713878073</v>
      </c>
      <c r="F17" s="64">
        <f>IFERROR((HistoricalFS!F21-HistoricalFS!F27)/HistoricalFS!F9,0)</f>
        <v>0.13817872523909347</v>
      </c>
      <c r="G17" s="64">
        <f>IFERROR((HistoricalFS!G21-HistoricalFS!G27)/HistoricalFS!G9,0)</f>
        <v>0.12928222875849443</v>
      </c>
      <c r="H17" s="64">
        <f>IFERROR((HistoricalFS!H21-HistoricalFS!H27)/HistoricalFS!H9,0)</f>
        <v>0.13342082976402533</v>
      </c>
      <c r="J17" s="65">
        <f t="shared" si="3"/>
        <v>0.13051311438791655</v>
      </c>
      <c r="K17" s="65">
        <f t="shared" si="4"/>
        <v>0.13135152926125987</v>
      </c>
    </row>
    <row r="18" spans="2:11" x14ac:dyDescent="0.3">
      <c r="B18" t="s">
        <v>194</v>
      </c>
      <c r="C18" s="64">
        <f>IFERROR(HistoricalFS!C34,0)</f>
        <v>0.14062265358456158</v>
      </c>
      <c r="D18" s="64">
        <f>IFERROR(HistoricalFS!D34,0)</f>
        <v>0.11785479908965649</v>
      </c>
      <c r="E18" s="64">
        <f>IFERROR(HistoricalFS!E34,0)</f>
        <v>0.12617978812779934</v>
      </c>
      <c r="F18" s="64">
        <f>IFERROR(HistoricalFS!F34,0)</f>
        <v>0.14406985619387477</v>
      </c>
      <c r="G18" s="64">
        <f>IFERROR(HistoricalFS!G34,0)</f>
        <v>0.13880536310517902</v>
      </c>
      <c r="H18" s="64">
        <f>IFERROR(HistoricalFS!H34,0)</f>
        <v>0.14096332644360124</v>
      </c>
      <c r="J18" s="65">
        <f t="shared" si="3"/>
        <v>0.1347492977574454</v>
      </c>
      <c r="K18" s="65">
        <f t="shared" si="4"/>
        <v>0.1397140083448703</v>
      </c>
    </row>
    <row r="19" spans="2:11" x14ac:dyDescent="0.3">
      <c r="B19" s="66" t="s">
        <v>195</v>
      </c>
      <c r="C19" s="67">
        <f>IFERROR(HistoricalFS!C40,0)</f>
        <v>0.10493163334328404</v>
      </c>
      <c r="D19" s="67">
        <f>IFERROR(HistoricalFS!D40,0)</f>
        <v>8.7562795409952709E-2</v>
      </c>
      <c r="E19" s="67">
        <f>IFERROR(HistoricalFS!E40,0)</f>
        <v>9.4231130598183471E-2</v>
      </c>
      <c r="F19" s="67">
        <f>IFERROR(HistoricalFS!F40,0)</f>
        <v>0.10724584501660255</v>
      </c>
      <c r="G19" s="67">
        <f>IFERROR(HistoricalFS!G40,0)</f>
        <v>0.10279365589233347</v>
      </c>
      <c r="H19" s="67">
        <f>IFERROR(HistoricalFS!H40,0)</f>
        <v>0.10470543662030501</v>
      </c>
      <c r="I19" s="66"/>
      <c r="J19" s="68">
        <f t="shared" si="3"/>
        <v>0.10024508281344353</v>
      </c>
      <c r="K19" s="68">
        <f t="shared" si="4"/>
        <v>0.10374954625631924</v>
      </c>
    </row>
    <row r="21" spans="2:11" x14ac:dyDescent="0.3">
      <c r="B21" s="61" t="s">
        <v>200</v>
      </c>
      <c r="C21" s="62">
        <f>IFERROR(HistoricalFS!C18/HistoricalFS!C9,0)</f>
        <v>0.38057065864507605</v>
      </c>
      <c r="D21" s="62">
        <f>IFERROR(HistoricalFS!D18/HistoricalFS!D9,0)</f>
        <v>0.36474442540849439</v>
      </c>
      <c r="E21" s="62">
        <f>IFERROR(HistoricalFS!E18/HistoricalFS!E9,0)</f>
        <v>0.35699451677528721</v>
      </c>
      <c r="F21" s="62">
        <f>IFERROR(HistoricalFS!F18/HistoricalFS!F9,0)</f>
        <v>0.37197159751157471</v>
      </c>
      <c r="G21" s="62">
        <f>IFERROR(HistoricalFS!G18/HistoricalFS!G9,0)</f>
        <v>0.38047420019742662</v>
      </c>
      <c r="H21" s="62">
        <f>IFERROR(HistoricalFS!H18/HistoricalFS!H9,0)</f>
        <v>0.36364807439346242</v>
      </c>
      <c r="I21" s="61"/>
      <c r="J21" s="63">
        <f t="shared" ref="J21:J23" si="5">AVERAGE(C21:H21)</f>
        <v>0.36973391215522028</v>
      </c>
      <c r="K21" s="63">
        <f t="shared" ref="K21:K23" si="6">MEDIAN(C21:H21)</f>
        <v>0.36835801146003455</v>
      </c>
    </row>
    <row r="22" spans="2:11" x14ac:dyDescent="0.3">
      <c r="B22" t="s">
        <v>199</v>
      </c>
      <c r="C22" s="64">
        <f>IFERROR(HistoricalFS!C27/HistoricalFS!C9,0)</f>
        <v>6.9377770640843221E-3</v>
      </c>
      <c r="D22" s="64">
        <f>IFERROR(HistoricalFS!D27/HistoricalFS!D9,0)</f>
        <v>6.9488698418046797E-3</v>
      </c>
      <c r="E22" s="64">
        <f>IFERROR(HistoricalFS!E27/HistoricalFS!E9,0)</f>
        <v>7.6751226641611865E-3</v>
      </c>
      <c r="F22" s="64">
        <f>IFERROR(HistoricalFS!F27/HistoricalFS!F9,0)</f>
        <v>8.4791315175896647E-3</v>
      </c>
      <c r="G22" s="64">
        <f>IFERROR(HistoricalFS!G27/HistoricalFS!G9,0)</f>
        <v>9.2238755298422615E-3</v>
      </c>
      <c r="H22" s="64">
        <f>IFERROR(HistoricalFS!H27/HistoricalFS!H9,0)</f>
        <v>1.0851467599117683E-2</v>
      </c>
      <c r="J22" s="65">
        <f t="shared" si="5"/>
        <v>8.3527073694332991E-3</v>
      </c>
      <c r="K22" s="65">
        <f t="shared" si="6"/>
        <v>8.0771270908754252E-3</v>
      </c>
    </row>
    <row r="23" spans="2:11" x14ac:dyDescent="0.3">
      <c r="B23" s="66" t="s">
        <v>202</v>
      </c>
      <c r="C23" s="67">
        <f>C17</f>
        <v>0.13725878035976924</v>
      </c>
      <c r="D23" s="67">
        <f t="shared" ref="D23:H23" si="7">D17</f>
        <v>0.11805928506733589</v>
      </c>
      <c r="E23" s="67">
        <f t="shared" si="7"/>
        <v>0.12687883713878073</v>
      </c>
      <c r="F23" s="67">
        <f t="shared" si="7"/>
        <v>0.13817872523909347</v>
      </c>
      <c r="G23" s="67">
        <f t="shared" si="7"/>
        <v>0.12928222875849443</v>
      </c>
      <c r="H23" s="67">
        <f t="shared" si="7"/>
        <v>0.13342082976402533</v>
      </c>
      <c r="I23" s="66"/>
      <c r="J23" s="68">
        <f t="shared" si="5"/>
        <v>0.13051311438791655</v>
      </c>
      <c r="K23" s="68">
        <f t="shared" si="6"/>
        <v>0.13135152926125987</v>
      </c>
    </row>
    <row r="25" spans="2:11" x14ac:dyDescent="0.3">
      <c r="B25" s="61" t="s">
        <v>203</v>
      </c>
      <c r="C25" s="62">
        <f>IFERROR(SUM(HistoricalFS!C33,HistoricalFS!C24)/SUM(HistoricalFS!C74:C75,HistoricalFS!C78),0)</f>
        <v>0.56207133674171106</v>
      </c>
      <c r="D25" s="62">
        <f>IFERROR(SUM(HistoricalFS!D33,HistoricalFS!D24)/SUM(HistoricalFS!D74:D75,HistoricalFS!D78),0)</f>
        <v>0.48056117729276021</v>
      </c>
      <c r="E25" s="62">
        <f>IFERROR(SUM(HistoricalFS!E33,HistoricalFS!E24)/SUM(HistoricalFS!E74:E75,HistoricalFS!E78),0)</f>
        <v>0.44382341113333268</v>
      </c>
      <c r="F25" s="62">
        <f>IFERROR(SUM(HistoricalFS!F33,HistoricalFS!F24)/SUM(HistoricalFS!F74:F75,HistoricalFS!F78),0)</f>
        <v>0.43838235302594747</v>
      </c>
      <c r="G25" s="62">
        <f>IFERROR(SUM(HistoricalFS!G33,HistoricalFS!G24)/SUM(HistoricalFS!G74:G75,HistoricalFS!G78),0)</f>
        <v>0.39493441168261784</v>
      </c>
      <c r="H25" s="62">
        <f>IFERROR(SUM(HistoricalFS!H33,HistoricalFS!H24)/SUM(HistoricalFS!H74:H75,HistoricalFS!H78),0)</f>
        <v>0.38685905509595886</v>
      </c>
      <c r="I25" s="61"/>
      <c r="J25" s="63">
        <f t="shared" ref="J25:J29" si="8">AVERAGE(C25:H25)</f>
        <v>0.45110529082872136</v>
      </c>
      <c r="K25" s="63">
        <f t="shared" ref="K25:K28" si="9">MEDIAN(C25:H25)</f>
        <v>0.4411028820796401</v>
      </c>
    </row>
    <row r="26" spans="2:11" x14ac:dyDescent="0.3">
      <c r="B26" t="s">
        <v>204</v>
      </c>
      <c r="C26" s="64">
        <f>IFERROR(HistoricalFS!C50,0)</f>
        <v>0.47392408077315662</v>
      </c>
      <c r="D26" s="64">
        <f>IFERROR(HistoricalFS!D50,0)</f>
        <v>0.43047008923994712</v>
      </c>
      <c r="E26" s="64">
        <f>IFERROR(HistoricalFS!E50,0)</f>
        <v>0.66145866305398326</v>
      </c>
      <c r="F26" s="64">
        <f>IFERROR(HistoricalFS!F50,0)</f>
        <v>0.51527370857225052</v>
      </c>
      <c r="G26" s="64">
        <f>IFERROR(HistoricalFS!G50,0)</f>
        <v>0.44571014545825483</v>
      </c>
      <c r="H26" s="64">
        <f>IFERROR(HistoricalFS!H50,0)</f>
        <v>0.476008150117045</v>
      </c>
      <c r="J26" s="65">
        <f t="shared" si="8"/>
        <v>0.5004741395357728</v>
      </c>
      <c r="K26" s="65">
        <f t="shared" si="9"/>
        <v>0.47496611544510081</v>
      </c>
    </row>
    <row r="27" spans="2:11" x14ac:dyDescent="0.3">
      <c r="B27" t="s">
        <v>205</v>
      </c>
      <c r="C27" s="64">
        <f>IFERROR((HistoricalFS!C39/SUM(HistoricalFS!C74:C75)),0)</f>
        <v>0.45396747293727691</v>
      </c>
      <c r="D27" s="64">
        <f>IFERROR((HistoricalFS!D39/SUM(HistoricalFS!D74:D75)),0)</f>
        <v>0.39349975935806342</v>
      </c>
      <c r="E27" s="64">
        <f>IFERROR((HistoricalFS!E39/SUM(HistoricalFS!E74:E75)),0)</f>
        <v>0.34323361108867784</v>
      </c>
      <c r="F27" s="64">
        <f>IFERROR((HistoricalFS!F39/SUM(HistoricalFS!F74:F75)),0)</f>
        <v>0.32936228297811987</v>
      </c>
      <c r="G27" s="64">
        <f>IFERROR((HistoricalFS!G39/SUM(HistoricalFS!G74:G75)),0)</f>
        <v>0.29926730942347574</v>
      </c>
      <c r="H27" s="64">
        <f>IFERROR((HistoricalFS!H39/SUM(HistoricalFS!H74:H75)),0)</f>
        <v>0.29464235380943404</v>
      </c>
      <c r="J27" s="65">
        <f t="shared" si="8"/>
        <v>0.35232879826584124</v>
      </c>
      <c r="K27" s="65">
        <f t="shared" si="9"/>
        <v>0.33629794703339888</v>
      </c>
    </row>
    <row r="28" spans="2:11" x14ac:dyDescent="0.3">
      <c r="B28" t="s">
        <v>206</v>
      </c>
      <c r="C28" s="64">
        <f>IFERROR(C27*C26,0)</f>
        <v>0.2151461173127118</v>
      </c>
      <c r="D28" s="64">
        <f t="shared" ref="D28:H28" si="10">IFERROR(D27*D26,0)</f>
        <v>0.16938987652676327</v>
      </c>
      <c r="E28" s="64">
        <f t="shared" si="10"/>
        <v>0.22703484550590769</v>
      </c>
      <c r="F28" s="64">
        <f t="shared" si="10"/>
        <v>0.16971172501395884</v>
      </c>
      <c r="G28" s="64">
        <f t="shared" si="10"/>
        <v>0.13338647601403791</v>
      </c>
      <c r="H28" s="64">
        <f t="shared" si="10"/>
        <v>0.14025216178296057</v>
      </c>
      <c r="J28" s="65">
        <f t="shared" si="8"/>
        <v>0.17582020035939003</v>
      </c>
      <c r="K28" s="65">
        <f t="shared" si="9"/>
        <v>0.16955080077036105</v>
      </c>
    </row>
    <row r="29" spans="2:11" x14ac:dyDescent="0.3">
      <c r="B29" s="66" t="s">
        <v>207</v>
      </c>
      <c r="C29" s="69">
        <f>IFERROR((HistoricalFS!C33+HistoricalFS!C24)/HistoricalFS!C24,0)</f>
        <v>23.823097068513988</v>
      </c>
      <c r="D29" s="69">
        <f>IFERROR((HistoricalFS!D33+HistoricalFS!D24)/HistoricalFS!D24,0)</f>
        <v>19.640322926813173</v>
      </c>
      <c r="E29" s="69">
        <f>IFERROR((HistoricalFS!E33+HistoricalFS!E24)/HistoricalFS!E24,0)</f>
        <v>27.096728424256121</v>
      </c>
      <c r="F29" s="69">
        <f>IFERROR((HistoricalFS!F33+HistoricalFS!F24)/HistoricalFS!F24,0)</f>
        <v>33.426948266010285</v>
      </c>
      <c r="G29" s="69">
        <f>IFERROR((HistoricalFS!G33+HistoricalFS!G24)/HistoricalFS!G24,0)</f>
        <v>54.347456167545026</v>
      </c>
      <c r="H29" s="69">
        <f>IFERROR((HistoricalFS!H33+HistoricalFS!H24)/HistoricalFS!H24,0)</f>
        <v>51.050102017683038</v>
      </c>
      <c r="I29" s="66"/>
      <c r="J29" s="69">
        <f t="shared" si="8"/>
        <v>34.897442478470268</v>
      </c>
      <c r="K29" s="69">
        <f>MEDIAN(C29:H29)</f>
        <v>30.261838345133203</v>
      </c>
    </row>
    <row r="31" spans="2:11" x14ac:dyDescent="0.3">
      <c r="B31" s="61" t="s">
        <v>208</v>
      </c>
      <c r="C31" s="71">
        <f>IFERROR(HistoricalFS!C9/HistoricalFS!C65,0)</f>
        <v>19.210092268310547</v>
      </c>
      <c r="D31" s="71">
        <f>IFERROR(HistoricalFS!D9/HistoricalFS!D65,0)</f>
        <v>18.134033068645362</v>
      </c>
      <c r="E31" s="71">
        <f>IFERROR(HistoricalFS!E9/HistoricalFS!E65,0)</f>
        <v>21.212322526763341</v>
      </c>
      <c r="F31" s="71">
        <f>IFERROR(HistoricalFS!F9/HistoricalFS!F65,0)</f>
        <v>21.46699826654174</v>
      </c>
      <c r="G31" s="71">
        <f>IFERROR(HistoricalFS!G9/HistoricalFS!G65,0)</f>
        <v>18.291451635114132</v>
      </c>
      <c r="H31" s="71">
        <f>IFERROR(HistoricalFS!H9/HistoricalFS!H65,0)</f>
        <v>21.748774065208448</v>
      </c>
      <c r="I31" s="61"/>
      <c r="J31" s="71">
        <f>AVERAGE(C31:H31)</f>
        <v>20.010611971763929</v>
      </c>
      <c r="K31" s="71">
        <f t="shared" ref="K31:K35" si="11">MEDIAN(C31:H31)</f>
        <v>20.211207397536946</v>
      </c>
    </row>
    <row r="32" spans="2:11" x14ac:dyDescent="0.3">
      <c r="B32" t="s">
        <v>209</v>
      </c>
      <c r="C32" s="70">
        <f>IFERROR(HistoricalFS!C9/SUM(HistoricalFS!C85:C86),0)</f>
        <v>10.03814828506451</v>
      </c>
      <c r="D32" s="70">
        <f>IFERROR(HistoricalFS!D9/SUM(HistoricalFS!D85:D86),0)</f>
        <v>13.284263058420912</v>
      </c>
      <c r="E32" s="70">
        <f>IFERROR(HistoricalFS!E9/SUM(HistoricalFS!E85:E86),0)</f>
        <v>16.63045581035432</v>
      </c>
      <c r="F32" s="70">
        <f>IFERROR(HistoricalFS!F9/SUM(HistoricalFS!F85:F86),0)</f>
        <v>14.902293657410842</v>
      </c>
      <c r="G32" s="70">
        <f>IFERROR(HistoricalFS!G9/SUM(HistoricalFS!G85:G86),0)</f>
        <v>14.106234520529934</v>
      </c>
      <c r="H32" s="70">
        <f>IFERROR(HistoricalFS!H9/SUM(HistoricalFS!H85:H86),0)</f>
        <v>12.99122807927079</v>
      </c>
      <c r="J32" s="70">
        <f t="shared" ref="J32:J35" si="12">AVERAGE(C32:H32)</f>
        <v>13.658770568508553</v>
      </c>
      <c r="K32" s="70">
        <f t="shared" si="11"/>
        <v>13.695248789475423</v>
      </c>
    </row>
    <row r="33" spans="2:11" x14ac:dyDescent="0.3">
      <c r="B33" t="s">
        <v>210</v>
      </c>
      <c r="C33" s="70">
        <f>IFERROR(HistoricalFS!C12/HistoricalFS!C64,0)</f>
        <v>3.7581268079439938</v>
      </c>
      <c r="D33" s="70">
        <f>IFERROR(HistoricalFS!D12/HistoricalFS!D64,0)</f>
        <v>2.7446444623743758</v>
      </c>
      <c r="E33" s="70">
        <f>IFERROR(HistoricalFS!E12/HistoricalFS!E64,0)</f>
        <v>3.0159639120873161</v>
      </c>
      <c r="F33" s="70">
        <f>IFERROR(HistoricalFS!F12/HistoricalFS!F64,0)</f>
        <v>3.5099464817271091</v>
      </c>
      <c r="G33" s="70">
        <f>IFERROR(HistoricalFS!G12/HistoricalFS!G64,0)</f>
        <v>3.5740435770209431</v>
      </c>
      <c r="H33" s="70">
        <f>IFERROR(HistoricalFS!H12/HistoricalFS!H64,0)</f>
        <v>3.1950756015188198</v>
      </c>
      <c r="J33" s="70">
        <f t="shared" si="12"/>
        <v>3.2996334737787598</v>
      </c>
      <c r="K33" s="70">
        <f>MEDIAN(C33:H33)</f>
        <v>3.3525110416229644</v>
      </c>
    </row>
    <row r="34" spans="2:11" x14ac:dyDescent="0.3">
      <c r="B34" t="s">
        <v>211</v>
      </c>
      <c r="C34" s="70">
        <f>IFERROR(HistoricalFS!C9/HistoricalFS!C54,0)</f>
        <v>19.745349897863484</v>
      </c>
      <c r="D34" s="70">
        <f>IFERROR(HistoricalFS!D9/HistoricalFS!D54,0)</f>
        <v>18.558712994424706</v>
      </c>
      <c r="E34" s="70">
        <f>IFERROR(HistoricalFS!E9/HistoricalFS!E54,0)</f>
        <v>15.234724681497548</v>
      </c>
      <c r="F34" s="70">
        <f>IFERROR(HistoricalFS!F9/HistoricalFS!F54,0)</f>
        <v>14.233276260308584</v>
      </c>
      <c r="G34" s="70">
        <f>IFERROR(HistoricalFS!G9/HistoricalFS!G54,0)</f>
        <v>13.232344723222374</v>
      </c>
      <c r="H34" s="70">
        <f>IFERROR(HistoricalFS!H9/HistoricalFS!H54,0)</f>
        <v>10.443192985234486</v>
      </c>
      <c r="J34" s="70">
        <f t="shared" si="12"/>
        <v>15.241266923758529</v>
      </c>
      <c r="K34" s="70">
        <f t="shared" si="11"/>
        <v>14.734000470903066</v>
      </c>
    </row>
    <row r="35" spans="2:11" x14ac:dyDescent="0.3">
      <c r="B35" s="66" t="s">
        <v>212</v>
      </c>
      <c r="C35" s="69">
        <f>IFERROR(HistoricalFS!C9/SUM(HistoricalFS!C74:C75,HistoricalFS!C78),0)</f>
        <v>3.8292392940074351</v>
      </c>
      <c r="D35" s="69">
        <f>IFERROR(HistoricalFS!D9/SUM(HistoricalFS!D74:D75,HistoricalFS!D78),0)</f>
        <v>3.8699577056848895</v>
      </c>
      <c r="E35" s="69">
        <f>IFERROR(HistoricalFS!E9/SUM(HistoricalFS!E74:E75,HistoricalFS!E78),0)</f>
        <v>3.3875804714344513</v>
      </c>
      <c r="F35" s="69">
        <f>IFERROR(HistoricalFS!F9/SUM(HistoricalFS!F74:F75,HistoricalFS!F78),0)</f>
        <v>2.9518160526499346</v>
      </c>
      <c r="G35" s="69">
        <f>IFERROR(HistoricalFS!G9/SUM(HistoricalFS!G74:G75,HistoricalFS!G78),0)</f>
        <v>2.7928860987310373</v>
      </c>
      <c r="H35" s="69">
        <f>IFERROR(HistoricalFS!H9/SUM(HistoricalFS!H74:H75,HistoricalFS!H78),0)</f>
        <v>2.6906361930678919</v>
      </c>
      <c r="I35" s="66"/>
      <c r="J35" s="69">
        <f t="shared" si="12"/>
        <v>3.253685969262607</v>
      </c>
      <c r="K35" s="69">
        <f t="shared" si="11"/>
        <v>3.1696982620421927</v>
      </c>
    </row>
    <row r="37" spans="2:11" x14ac:dyDescent="0.3">
      <c r="B37" s="61" t="s">
        <v>213</v>
      </c>
      <c r="C37" s="73">
        <f>IFERROR(365/C31,0)</f>
        <v>19.000429300493952</v>
      </c>
      <c r="D37" s="73">
        <f t="shared" ref="D37:H37" si="13">IFERROR(365/D31,0)</f>
        <v>20.12789976825966</v>
      </c>
      <c r="E37" s="73">
        <f t="shared" si="13"/>
        <v>17.206979553487542</v>
      </c>
      <c r="F37" s="73">
        <f t="shared" si="13"/>
        <v>17.002842943761053</v>
      </c>
      <c r="G37" s="73">
        <f t="shared" si="13"/>
        <v>19.954676494855601</v>
      </c>
      <c r="H37" s="73">
        <f t="shared" si="13"/>
        <v>16.782555141068439</v>
      </c>
      <c r="I37" s="61"/>
      <c r="J37" s="73">
        <f>AVERAGE(C37:H37)</f>
        <v>18.345897200321044</v>
      </c>
      <c r="K37" s="73">
        <f>MEDIAN(C37:H37)</f>
        <v>18.103704426990745</v>
      </c>
    </row>
    <row r="38" spans="2:11" x14ac:dyDescent="0.3">
      <c r="B38" t="s">
        <v>214</v>
      </c>
      <c r="C38" s="72">
        <f>IFERROR(365/C32,0)</f>
        <v>36.361287922302729</v>
      </c>
      <c r="D38" s="72">
        <f t="shared" ref="D38:H38" si="14">IFERROR(365/D32,0)</f>
        <v>27.476119555508653</v>
      </c>
      <c r="E38" s="72">
        <f t="shared" si="14"/>
        <v>21.947684667352693</v>
      </c>
      <c r="F38" s="72">
        <f t="shared" si="14"/>
        <v>24.492873942159044</v>
      </c>
      <c r="G38" s="72">
        <f t="shared" si="14"/>
        <v>25.875083777232415</v>
      </c>
      <c r="H38" s="72">
        <f t="shared" si="14"/>
        <v>28.095881141707103</v>
      </c>
      <c r="J38" s="72">
        <f>AVERAGE(C38:H38)</f>
        <v>27.374821834377105</v>
      </c>
      <c r="K38" s="72">
        <f t="shared" ref="K38:K40" si="15">MEDIAN(C38:H38)</f>
        <v>26.675601666370532</v>
      </c>
    </row>
    <row r="39" spans="2:11" x14ac:dyDescent="0.3">
      <c r="B39" t="s">
        <v>215</v>
      </c>
      <c r="C39" s="72">
        <f>IFERROR(365/C33,0)</f>
        <v>97.12285365902413</v>
      </c>
      <c r="D39" s="72">
        <f t="shared" ref="D39:H39" si="16">IFERROR(365/D33,0)</f>
        <v>132.98625924184026</v>
      </c>
      <c r="E39" s="72">
        <f t="shared" si="16"/>
        <v>121.02266825447107</v>
      </c>
      <c r="F39" s="72">
        <f t="shared" si="16"/>
        <v>103.99018956562483</v>
      </c>
      <c r="G39" s="72">
        <f t="shared" si="16"/>
        <v>102.12522375125511</v>
      </c>
      <c r="H39" s="72">
        <f t="shared" si="16"/>
        <v>114.23829840724038</v>
      </c>
      <c r="J39" s="72">
        <f t="shared" ref="J39:J40" si="17">AVERAGE(C39:H39)</f>
        <v>111.91424881324262</v>
      </c>
      <c r="K39" s="72">
        <f t="shared" si="15"/>
        <v>109.1142439864326</v>
      </c>
    </row>
    <row r="40" spans="2:11" x14ac:dyDescent="0.3">
      <c r="B40" s="66" t="s">
        <v>216</v>
      </c>
      <c r="C40" s="74">
        <f>IFERROR(C37+C39-C38,0)</f>
        <v>79.761995037215343</v>
      </c>
      <c r="D40" s="74">
        <f t="shared" ref="D40:H40" si="18">IFERROR(D37+D39-D38,0)</f>
        <v>125.63803945459125</v>
      </c>
      <c r="E40" s="74">
        <f t="shared" si="18"/>
        <v>116.28196314060591</v>
      </c>
      <c r="F40" s="74">
        <f t="shared" si="18"/>
        <v>96.500158567226833</v>
      </c>
      <c r="G40" s="74">
        <f t="shared" si="18"/>
        <v>96.204816468878292</v>
      </c>
      <c r="H40" s="74">
        <f t="shared" si="18"/>
        <v>102.92497240660171</v>
      </c>
      <c r="I40" s="66"/>
      <c r="J40" s="74">
        <f t="shared" si="17"/>
        <v>102.88532417918655</v>
      </c>
      <c r="K40" s="74">
        <f t="shared" si="15"/>
        <v>99.712565486914272</v>
      </c>
    </row>
    <row r="42" spans="2:11" x14ac:dyDescent="0.3">
      <c r="B42" s="61" t="s">
        <v>217</v>
      </c>
      <c r="C42" s="71">
        <f>IFERROR(HistoricalFS!C98/HistoricalFS!C9,0)</f>
        <v>0.24586738089221108</v>
      </c>
      <c r="D42" s="71">
        <f>IFERROR(HistoricalFS!D98/HistoricalFS!D9,0)</f>
        <v>-5.4437215237096735E-2</v>
      </c>
      <c r="E42" s="71">
        <f>IFERROR(HistoricalFS!E98/HistoricalFS!E9,0)</f>
        <v>9.1733504342336167E-2</v>
      </c>
      <c r="F42" s="71">
        <f>IFERROR(HistoricalFS!F98/HistoricalFS!F9,0)</f>
        <v>0.1701508090077066</v>
      </c>
      <c r="G42" s="71">
        <f>IFERROR(HistoricalFS!G98/HistoricalFS!G9,0)</f>
        <v>9.1339365592818356E-2</v>
      </c>
      <c r="H42" s="71">
        <f>IFERROR(HistoricalFS!H98/HistoricalFS!H9,0)</f>
        <v>6.9910999624639036E-2</v>
      </c>
      <c r="I42" s="61"/>
      <c r="J42" s="71">
        <f>AVERAGE(C42:H42)</f>
        <v>0.1024274740371024</v>
      </c>
      <c r="K42" s="71">
        <f t="shared" ref="K42:K44" si="19">MEDIAN(C42:H42)</f>
        <v>9.1536434967577268E-2</v>
      </c>
    </row>
    <row r="43" spans="2:11" x14ac:dyDescent="0.3">
      <c r="B43" t="s">
        <v>218</v>
      </c>
      <c r="C43" s="70">
        <f>IFERROR(HistoricalFS!C98/HistoricalFS!C71,0)</f>
        <v>0.48193291372099689</v>
      </c>
      <c r="D43" s="70">
        <f>IFERROR(HistoricalFS!D98/HistoricalFS!D71,0)</f>
        <v>-0.1272755183125045</v>
      </c>
      <c r="E43" s="70">
        <f>IFERROR(HistoricalFS!E98/HistoricalFS!E71,0)</f>
        <v>0.20040974642161524</v>
      </c>
      <c r="F43" s="70">
        <f>IFERROR(HistoricalFS!F98/HistoricalFS!F71,0)</f>
        <v>0.33116616318333231</v>
      </c>
      <c r="G43" s="70">
        <f>IFERROR(HistoricalFS!G98/HistoricalFS!G71,0)</f>
        <v>0.1745353800962276</v>
      </c>
      <c r="H43" s="70">
        <f>IFERROR(HistoricalFS!H98/HistoricalFS!H71,0)</f>
        <v>0.12727541933218089</v>
      </c>
      <c r="J43" s="70">
        <f t="shared" ref="J43:J44" si="20">AVERAGE(C43:H43)</f>
        <v>0.19800735074030809</v>
      </c>
      <c r="K43" s="70">
        <f t="shared" si="19"/>
        <v>0.18747256325892142</v>
      </c>
    </row>
    <row r="44" spans="2:11" x14ac:dyDescent="0.3">
      <c r="B44" s="66" t="s">
        <v>219</v>
      </c>
      <c r="C44" s="69">
        <f>IFERROR(HistoricalFS!C98/SUM(HistoricalFS!C78,HistoricalFS!C84),0)</f>
        <v>5.03465706664677</v>
      </c>
      <c r="D44" s="69">
        <f>IFERROR(HistoricalFS!D98/SUM(HistoricalFS!D78,HistoricalFS!D84),0)</f>
        <v>-1.2016945364219336</v>
      </c>
      <c r="E44" s="69">
        <f>IFERROR(HistoricalFS!E98/SUM(HistoricalFS!E78,HistoricalFS!E84),0)</f>
        <v>2.1806151991775287</v>
      </c>
      <c r="F44" s="69">
        <f>IFERROR(HistoricalFS!F98/SUM(HistoricalFS!F78,HistoricalFS!F84),0)</f>
        <v>5.5569519339007432</v>
      </c>
      <c r="G44" s="69">
        <f>IFERROR(HistoricalFS!G98/SUM(HistoricalFS!G78,HistoricalFS!G84),0)</f>
        <v>4.406779294569386</v>
      </c>
      <c r="H44" s="69">
        <f>IFERROR(HistoricalFS!H98/SUM(HistoricalFS!H78,HistoricalFS!H84),0)</f>
        <v>2.9805737696550647</v>
      </c>
      <c r="I44" s="66"/>
      <c r="J44" s="69">
        <f t="shared" si="20"/>
        <v>3.1596471212545936</v>
      </c>
      <c r="K44" s="69">
        <f t="shared" si="19"/>
        <v>3.6936765321122254</v>
      </c>
    </row>
  </sheetData>
  <mergeCells count="3">
    <mergeCell ref="B6:K6"/>
    <mergeCell ref="B2:H4"/>
    <mergeCell ref="J4:K4"/>
  </mergeCells>
  <pageMargins left="0.25" right="0.25" top="0.75" bottom="0.75" header="0.3" footer="0.3"/>
  <pageSetup scale="84" orientation="portrait" r:id="rId1"/>
  <drawing r:id="rId2"/>
  <extLst>
    <ext xmlns:x14="http://schemas.microsoft.com/office/spreadsheetml/2009/9/main" uri="{05C60535-1F16-4fd2-B633-F4F36F0B64E0}">
      <x14:sparklineGroups xmlns:xm="http://schemas.microsoft.com/office/excel/2006/main">
        <x14:sparklineGroup displayEmptyCellsAs="gap" markers="1" xr2:uid="{612505F0-C319-457F-9554-F090A72DA304}">
          <x14:colorSeries rgb="FF323232"/>
          <x14:colorNegative rgb="FFD00000"/>
          <x14:colorAxis rgb="FF000000"/>
          <x14:colorMarkers theme="1"/>
          <x14:colorFirst rgb="FFD00000"/>
          <x14:colorLast rgb="FFD00000"/>
          <x14:colorHigh rgb="FFD00000"/>
          <x14:colorLow rgb="FFD00000"/>
          <x14:sparklines>
            <x14:sparkline>
              <xm:f>'Ratio Analysis'!C37:H37</xm:f>
              <xm:sqref>I37</xm:sqref>
            </x14:sparkline>
            <x14:sparkline>
              <xm:f>'Ratio Analysis'!C38:H38</xm:f>
              <xm:sqref>I38</xm:sqref>
            </x14:sparkline>
            <x14:sparkline>
              <xm:f>'Ratio Analysis'!C39:H39</xm:f>
              <xm:sqref>I39</xm:sqref>
            </x14:sparkline>
            <x14:sparkline>
              <xm:f>'Ratio Analysis'!C40:H40</xm:f>
              <xm:sqref>I40</xm:sqref>
            </x14:sparkline>
            <x14:sparkline>
              <xm:f>'Ratio Analysis'!C41:H41</xm:f>
              <xm:sqref>I41</xm:sqref>
            </x14:sparkline>
            <x14:sparkline>
              <xm:f>'Ratio Analysis'!C42:H42</xm:f>
              <xm:sqref>I42</xm:sqref>
            </x14:sparkline>
            <x14:sparkline>
              <xm:f>'Ratio Analysis'!C43:H43</xm:f>
              <xm:sqref>I43</xm:sqref>
            </x14:sparkline>
            <x14:sparkline>
              <xm:f>'Ratio Analysis'!C44:H44</xm:f>
              <xm:sqref>I44</xm:sqref>
            </x14:sparkline>
          </x14:sparklines>
        </x14:sparklineGroup>
        <x14:sparklineGroup displayEmptyCellsAs="gap" markers="1" xr2:uid="{0E47EE90-6783-4E6A-89D9-317C7CFF8B04}">
          <x14:colorSeries rgb="FF323232"/>
          <x14:colorNegative rgb="FFD00000"/>
          <x14:colorAxis rgb="FF000000"/>
          <x14:colorMarkers theme="1"/>
          <x14:colorFirst rgb="FFD00000"/>
          <x14:colorLast rgb="FFD00000"/>
          <x14:colorHigh rgb="FFD00000"/>
          <x14:colorLow rgb="FFD00000"/>
          <x14:sparklines>
            <x14:sparkline>
              <xm:f>'Ratio Analysis'!D9:H9</xm:f>
              <xm:sqref>I9</xm:sqref>
            </x14:sparkline>
            <x14:sparkline>
              <xm:f>'Ratio Analysis'!D10:H10</xm:f>
              <xm:sqref>I10</xm:sqref>
            </x14:sparkline>
            <x14:sparkline>
              <xm:f>'Ratio Analysis'!D11:H11</xm:f>
              <xm:sqref>I11</xm:sqref>
            </x14:sparkline>
            <x14:sparkline>
              <xm:f>'Ratio Analysis'!D12:H12</xm:f>
              <xm:sqref>I12</xm:sqref>
            </x14:sparkline>
            <x14:sparkline>
              <xm:f>'Ratio Analysis'!D13:H13</xm:f>
              <xm:sqref>I13</xm:sqref>
            </x14:sparkline>
            <x14:sparkline>
              <xm:f>'Ratio Analysis'!D14:H14</xm:f>
              <xm:sqref>I14</xm:sqref>
            </x14:sparkline>
            <x14:sparkline>
              <xm:f>'Ratio Analysis'!C15:H15</xm:f>
              <xm:sqref>I15</xm:sqref>
            </x14:sparkline>
            <x14:sparkline>
              <xm:f>'Ratio Analysis'!C16:H16</xm:f>
              <xm:sqref>I16</xm:sqref>
            </x14:sparkline>
            <x14:sparkline>
              <xm:f>'Ratio Analysis'!C17:H17</xm:f>
              <xm:sqref>I17</xm:sqref>
            </x14:sparkline>
            <x14:sparkline>
              <xm:f>'Ratio Analysis'!C18:H18</xm:f>
              <xm:sqref>I18</xm:sqref>
            </x14:sparkline>
            <x14:sparkline>
              <xm:f>'Ratio Analysis'!C19:H19</xm:f>
              <xm:sqref>I19</xm:sqref>
            </x14:sparkline>
            <x14:sparkline>
              <xm:f>'Ratio Analysis'!C20:H20</xm:f>
              <xm:sqref>I20</xm:sqref>
            </x14:sparkline>
            <x14:sparkline>
              <xm:f>'Ratio Analysis'!C21:H21</xm:f>
              <xm:sqref>I21</xm:sqref>
            </x14:sparkline>
            <x14:sparkline>
              <xm:f>'Ratio Analysis'!C22:H22</xm:f>
              <xm:sqref>I22</xm:sqref>
            </x14:sparkline>
            <x14:sparkline>
              <xm:f>'Ratio Analysis'!C23:H23</xm:f>
              <xm:sqref>I23</xm:sqref>
            </x14:sparkline>
            <x14:sparkline>
              <xm:f>'Ratio Analysis'!C24:H24</xm:f>
              <xm:sqref>I24</xm:sqref>
            </x14:sparkline>
            <x14:sparkline>
              <xm:f>'Ratio Analysis'!C25:H25</xm:f>
              <xm:sqref>I25</xm:sqref>
            </x14:sparkline>
            <x14:sparkline>
              <xm:f>'Ratio Analysis'!C26:H26</xm:f>
              <xm:sqref>I26</xm:sqref>
            </x14:sparkline>
            <x14:sparkline>
              <xm:f>'Ratio Analysis'!C27:H27</xm:f>
              <xm:sqref>I27</xm:sqref>
            </x14:sparkline>
            <x14:sparkline>
              <xm:f>'Ratio Analysis'!C28:H28</xm:f>
              <xm:sqref>I28</xm:sqref>
            </x14:sparkline>
            <x14:sparkline>
              <xm:f>'Ratio Analysis'!C29:H29</xm:f>
              <xm:sqref>I29</xm:sqref>
            </x14:sparkline>
            <x14:sparkline>
              <xm:f>'Ratio Analysis'!C30:H30</xm:f>
              <xm:sqref>I30</xm:sqref>
            </x14:sparkline>
            <x14:sparkline>
              <xm:f>'Ratio Analysis'!C31:H31</xm:f>
              <xm:sqref>I31</xm:sqref>
            </x14:sparkline>
            <x14:sparkline>
              <xm:f>'Ratio Analysis'!C32:H32</xm:f>
              <xm:sqref>I32</xm:sqref>
            </x14:sparkline>
            <x14:sparkline>
              <xm:f>'Ratio Analysis'!C33:H33</xm:f>
              <xm:sqref>I33</xm:sqref>
            </x14:sparkline>
            <x14:sparkline>
              <xm:f>'Ratio Analysis'!C34:H34</xm:f>
              <xm:sqref>I34</xm:sqref>
            </x14:sparkline>
            <x14:sparkline>
              <xm:f>'Ratio Analysis'!C35:H35</xm:f>
              <xm:sqref>I35</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FBA1-0299-4256-8E54-C297C4B3F4AB}">
  <sheetPr>
    <tabColor rgb="FF92D050"/>
    <pageSetUpPr fitToPage="1"/>
  </sheetPr>
  <dimension ref="B1:O22"/>
  <sheetViews>
    <sheetView showGridLines="0" workbookViewId="0">
      <selection activeCell="R14" sqref="R14"/>
    </sheetView>
  </sheetViews>
  <sheetFormatPr defaultRowHeight="14.4" x14ac:dyDescent="0.3"/>
  <cols>
    <col min="1" max="1" width="1.88671875" customWidth="1"/>
    <col min="2" max="2" width="10.77734375" style="38" customWidth="1"/>
    <col min="3" max="5" width="10.77734375" customWidth="1"/>
    <col min="6" max="6" width="2.77734375" customWidth="1"/>
    <col min="7" max="10" width="10.77734375" customWidth="1"/>
    <col min="11" max="11" width="2.77734375" customWidth="1"/>
    <col min="12" max="15" width="10.77734375" customWidth="1"/>
  </cols>
  <sheetData>
    <row r="1" spans="2:15" ht="5.4" customHeight="1" thickBot="1" x14ac:dyDescent="0.35"/>
    <row r="2" spans="2:15" ht="15" thickTop="1" x14ac:dyDescent="0.3">
      <c r="B2" s="224" t="s">
        <v>221</v>
      </c>
      <c r="C2" s="224"/>
      <c r="D2" s="224"/>
      <c r="E2" s="224"/>
      <c r="F2" s="224"/>
      <c r="G2" s="224"/>
      <c r="H2" s="224"/>
      <c r="I2" s="224"/>
      <c r="J2" s="82"/>
      <c r="K2" s="75"/>
      <c r="L2" s="82"/>
      <c r="M2" s="75"/>
      <c r="N2" s="82"/>
      <c r="O2" s="75"/>
    </row>
    <row r="3" spans="2:15" x14ac:dyDescent="0.3">
      <c r="B3" s="225"/>
      <c r="C3" s="225"/>
      <c r="D3" s="225"/>
      <c r="E3" s="225"/>
      <c r="F3" s="225"/>
      <c r="G3" s="225"/>
      <c r="H3" s="225"/>
      <c r="I3" s="225"/>
      <c r="J3" s="83"/>
      <c r="L3" s="83"/>
      <c r="N3" s="83"/>
    </row>
    <row r="4" spans="2:15" ht="15" thickBot="1" x14ac:dyDescent="0.35">
      <c r="B4" s="226"/>
      <c r="C4" s="226"/>
      <c r="D4" s="226"/>
      <c r="E4" s="226"/>
      <c r="F4" s="226"/>
      <c r="G4" s="226"/>
      <c r="H4" s="226"/>
      <c r="I4" s="226"/>
      <c r="J4" s="81"/>
      <c r="K4" s="84"/>
      <c r="L4" s="81"/>
      <c r="M4" s="84"/>
      <c r="N4" s="81"/>
      <c r="O4" s="86" t="s">
        <v>220</v>
      </c>
    </row>
    <row r="5" spans="2:15" ht="4.2" customHeight="1" thickTop="1" x14ac:dyDescent="0.3"/>
    <row r="7" spans="2:15" x14ac:dyDescent="0.3">
      <c r="B7" s="231" t="s">
        <v>226</v>
      </c>
      <c r="C7" s="231"/>
      <c r="D7" s="231"/>
      <c r="E7" s="231"/>
      <c r="G7" s="231" t="s">
        <v>230</v>
      </c>
      <c r="H7" s="231"/>
      <c r="I7" s="231"/>
      <c r="J7" s="231"/>
      <c r="L7" s="231" t="s">
        <v>232</v>
      </c>
      <c r="M7" s="231"/>
      <c r="N7" s="231"/>
      <c r="O7" s="231"/>
    </row>
    <row r="8" spans="2:15" x14ac:dyDescent="0.3">
      <c r="B8" s="39" t="s">
        <v>224</v>
      </c>
      <c r="C8" s="35" t="s">
        <v>225</v>
      </c>
      <c r="D8" s="35" t="s">
        <v>227</v>
      </c>
      <c r="E8" s="35" t="s">
        <v>228</v>
      </c>
      <c r="G8" s="39" t="s">
        <v>224</v>
      </c>
      <c r="H8" s="35" t="s">
        <v>225</v>
      </c>
      <c r="I8" s="35" t="s">
        <v>229</v>
      </c>
      <c r="J8" s="35" t="s">
        <v>228</v>
      </c>
      <c r="L8" s="39" t="s">
        <v>224</v>
      </c>
      <c r="M8" s="35" t="s">
        <v>225</v>
      </c>
      <c r="N8" s="35" t="s">
        <v>231</v>
      </c>
      <c r="O8" s="35" t="s">
        <v>228</v>
      </c>
    </row>
    <row r="9" spans="2:15" x14ac:dyDescent="0.3">
      <c r="B9" s="149">
        <v>1</v>
      </c>
      <c r="C9" s="150">
        <v>2021</v>
      </c>
      <c r="D9" s="151">
        <f t="array" ref="D9:D14">TRANSPOSE(HistoricalFS!C9:H9)</f>
        <v>76845.94</v>
      </c>
      <c r="E9" s="152"/>
      <c r="G9" s="149">
        <v>1</v>
      </c>
      <c r="H9" s="150">
        <v>2021</v>
      </c>
      <c r="I9" s="151">
        <f t="array" ref="I9:I14">TRANSPOSE(HistoricalFS!C21:H21)</f>
        <v>11080.920000000006</v>
      </c>
      <c r="J9" s="152"/>
      <c r="L9" s="149">
        <v>1</v>
      </c>
      <c r="M9" s="150">
        <v>2021</v>
      </c>
      <c r="N9" s="151">
        <f t="array" ref="N9:N14">TRANSPOSE(HistoricalFS!C39:H39)</f>
        <v>8063.5700000000043</v>
      </c>
      <c r="O9" s="152"/>
    </row>
    <row r="10" spans="2:15" x14ac:dyDescent="0.3">
      <c r="B10" s="149">
        <f>B9+1</f>
        <v>2</v>
      </c>
      <c r="C10" s="150">
        <f>C9+1</f>
        <v>2022</v>
      </c>
      <c r="D10" s="151">
        <v>95801.19</v>
      </c>
      <c r="E10" s="153">
        <f>D10/D9-1</f>
        <v>0.24666560133170345</v>
      </c>
      <c r="G10" s="149">
        <f>G9+1</f>
        <v>2</v>
      </c>
      <c r="H10" s="150">
        <f>H9+1</f>
        <v>2022</v>
      </c>
      <c r="I10" s="151">
        <v>11975.930000000008</v>
      </c>
      <c r="J10" s="153">
        <f>I10/I9-1</f>
        <v>8.0770369247318952E-2</v>
      </c>
      <c r="L10" s="149">
        <f>L9+1</f>
        <v>2</v>
      </c>
      <c r="M10" s="150">
        <f>M9+1</f>
        <v>2022</v>
      </c>
      <c r="N10" s="151">
        <v>8388.6200000000081</v>
      </c>
      <c r="O10" s="153">
        <f>N10/N9-1</f>
        <v>4.0310929278223329E-2</v>
      </c>
    </row>
    <row r="11" spans="2:15" x14ac:dyDescent="0.3">
      <c r="B11" s="149">
        <f t="shared" ref="B11:B14" si="0">B10+1</f>
        <v>3</v>
      </c>
      <c r="C11" s="150">
        <f t="shared" ref="C11:C14" si="1">C10+1</f>
        <v>2023</v>
      </c>
      <c r="D11" s="151">
        <v>100579.5</v>
      </c>
      <c r="E11" s="153">
        <f t="shared" ref="E11:E19" si="2">D11/D10-1</f>
        <v>4.9877355385669064E-2</v>
      </c>
      <c r="G11" s="149">
        <f t="shared" ref="G11:G19" si="3">G10+1</f>
        <v>3</v>
      </c>
      <c r="H11" s="150">
        <f t="shared" ref="H11:H19" si="4">H10+1</f>
        <v>2023</v>
      </c>
      <c r="I11" s="151">
        <v>13533.369999999995</v>
      </c>
      <c r="J11" s="153">
        <f t="shared" ref="J11:J19" si="5">I11/I10-1</f>
        <v>0.1300475203178364</v>
      </c>
      <c r="L11" s="149">
        <f t="shared" ref="L11:L19" si="6">L10+1</f>
        <v>3</v>
      </c>
      <c r="M11" s="150">
        <f t="shared" ref="M11:M19" si="7">M10+1</f>
        <v>2023</v>
      </c>
      <c r="N11" s="151">
        <v>9477.7199999999939</v>
      </c>
      <c r="O11" s="153">
        <f t="shared" ref="O11:O19" si="8">N11/N10-1</f>
        <v>0.1298306515255172</v>
      </c>
    </row>
    <row r="12" spans="2:15" x14ac:dyDescent="0.3">
      <c r="B12" s="149">
        <f t="shared" si="0"/>
        <v>4</v>
      </c>
      <c r="C12" s="150">
        <f t="shared" si="1"/>
        <v>2024</v>
      </c>
      <c r="D12" s="151">
        <v>102414.97</v>
      </c>
      <c r="E12" s="153">
        <f t="shared" si="2"/>
        <v>1.8248947350106182E-2</v>
      </c>
      <c r="G12" s="149">
        <f t="shared" si="3"/>
        <v>4</v>
      </c>
      <c r="H12" s="150">
        <f t="shared" si="4"/>
        <v>2024</v>
      </c>
      <c r="I12" s="151">
        <v>15019.96</v>
      </c>
      <c r="J12" s="153">
        <f t="shared" si="5"/>
        <v>0.10984625411113447</v>
      </c>
      <c r="L12" s="149">
        <f t="shared" si="6"/>
        <v>4</v>
      </c>
      <c r="M12" s="150">
        <f t="shared" si="7"/>
        <v>2024</v>
      </c>
      <c r="N12" s="151">
        <v>10983.58</v>
      </c>
      <c r="O12" s="153">
        <f t="shared" si="8"/>
        <v>0.15888420421789284</v>
      </c>
    </row>
    <row r="13" spans="2:15" x14ac:dyDescent="0.3">
      <c r="B13" s="149">
        <f t="shared" si="0"/>
        <v>5</v>
      </c>
      <c r="C13" s="150">
        <f t="shared" si="1"/>
        <v>2025</v>
      </c>
      <c r="D13" s="151">
        <v>111575.66</v>
      </c>
      <c r="E13" s="153">
        <f t="shared" si="2"/>
        <v>8.9446786929684219E-2</v>
      </c>
      <c r="G13" s="149">
        <f t="shared" si="3"/>
        <v>5</v>
      </c>
      <c r="H13" s="150">
        <f t="shared" si="4"/>
        <v>2025</v>
      </c>
      <c r="I13" s="151">
        <v>15453.909999999996</v>
      </c>
      <c r="J13" s="153">
        <f t="shared" si="5"/>
        <v>2.889155497085194E-2</v>
      </c>
      <c r="L13" s="149">
        <f t="shared" si="6"/>
        <v>5</v>
      </c>
      <c r="M13" s="150">
        <f t="shared" si="7"/>
        <v>2025</v>
      </c>
      <c r="N13" s="151">
        <v>11469.269999999997</v>
      </c>
      <c r="O13" s="153">
        <f t="shared" si="8"/>
        <v>4.4219644232572408E-2</v>
      </c>
    </row>
    <row r="14" spans="2:15" x14ac:dyDescent="0.3">
      <c r="B14" s="149">
        <f t="shared" si="0"/>
        <v>6</v>
      </c>
      <c r="C14" s="150">
        <f t="shared" si="1"/>
        <v>2026</v>
      </c>
      <c r="D14" s="151">
        <v>125292.73</v>
      </c>
      <c r="E14" s="153">
        <f t="shared" si="2"/>
        <v>0.12293962679674042</v>
      </c>
      <c r="G14" s="149">
        <f t="shared" si="3"/>
        <v>6</v>
      </c>
      <c r="H14" s="150">
        <f t="shared" si="4"/>
        <v>2026</v>
      </c>
      <c r="I14" s="151">
        <v>18076.26999999999</v>
      </c>
      <c r="J14" s="153">
        <f t="shared" si="5"/>
        <v>0.16968909486337069</v>
      </c>
      <c r="L14" s="149">
        <f t="shared" si="6"/>
        <v>6</v>
      </c>
      <c r="M14" s="150">
        <f t="shared" si="7"/>
        <v>2026</v>
      </c>
      <c r="N14" s="151">
        <v>13118.829999999989</v>
      </c>
      <c r="O14" s="153">
        <f t="shared" si="8"/>
        <v>0.14382432360559938</v>
      </c>
    </row>
    <row r="15" spans="2:15" x14ac:dyDescent="0.3">
      <c r="B15" s="154">
        <f t="shared" ref="B15:B19" si="9">B14+1</f>
        <v>7</v>
      </c>
      <c r="C15" s="155">
        <f t="shared" ref="C15:C19" si="10">C14+1</f>
        <v>2027</v>
      </c>
      <c r="D15" s="156">
        <f>FORECAST(B15,$D$9:$D$14,$B$9:$B$14)</f>
        <v>131224.28133333335</v>
      </c>
      <c r="E15" s="157">
        <f t="shared" si="2"/>
        <v>4.7341544344459141E-2</v>
      </c>
      <c r="G15" s="154">
        <f t="shared" si="3"/>
        <v>7</v>
      </c>
      <c r="H15" s="155">
        <f t="shared" si="4"/>
        <v>2027</v>
      </c>
      <c r="I15" s="156">
        <f>FORECAST(G15,$I$9:$I$14,$G$9:$G$14)</f>
        <v>18879.787999999986</v>
      </c>
      <c r="J15" s="157">
        <f t="shared" si="5"/>
        <v>4.4451537844920175E-2</v>
      </c>
      <c r="L15" s="154">
        <f t="shared" si="6"/>
        <v>7</v>
      </c>
      <c r="M15" s="155">
        <f t="shared" si="7"/>
        <v>2027</v>
      </c>
      <c r="N15" s="156">
        <f>FORECAST(L15,$N$9:$N$14,$L$9:$L$14)</f>
        <v>13852.675999999989</v>
      </c>
      <c r="O15" s="157">
        <f t="shared" si="8"/>
        <v>5.5938372553040239E-2</v>
      </c>
    </row>
    <row r="16" spans="2:15" x14ac:dyDescent="0.3">
      <c r="B16" s="154">
        <f t="shared" si="9"/>
        <v>8</v>
      </c>
      <c r="C16" s="155">
        <f t="shared" si="10"/>
        <v>2028</v>
      </c>
      <c r="D16" s="156">
        <f t="shared" ref="D16:D19" si="11">FORECAST(B16,$D$9:$D$14,$B$9:$B$14)</f>
        <v>139549.79076190476</v>
      </c>
      <c r="E16" s="157">
        <f t="shared" si="2"/>
        <v>6.3444884925093481E-2</v>
      </c>
      <c r="G16" s="154">
        <f t="shared" si="3"/>
        <v>8</v>
      </c>
      <c r="H16" s="155">
        <f t="shared" si="4"/>
        <v>2028</v>
      </c>
      <c r="I16" s="156">
        <f t="shared" ref="I16:I19" si="12">FORECAST(G16,$I$9:$I$14,$G$9:$G$14)</f>
        <v>20219.710285714267</v>
      </c>
      <c r="J16" s="157">
        <f t="shared" si="5"/>
        <v>7.0971256971438468E-2</v>
      </c>
      <c r="L16" s="154">
        <f t="shared" si="6"/>
        <v>8</v>
      </c>
      <c r="M16" s="155">
        <f t="shared" si="7"/>
        <v>2028</v>
      </c>
      <c r="N16" s="156">
        <f t="shared" ref="N16:N19" si="13">FORECAST(L16,$N$9:$N$14,$L$9:$L$14)</f>
        <v>14881.93628571427</v>
      </c>
      <c r="O16" s="157">
        <f t="shared" si="8"/>
        <v>7.430046625751463E-2</v>
      </c>
    </row>
    <row r="17" spans="2:15" x14ac:dyDescent="0.3">
      <c r="B17" s="154">
        <f t="shared" si="9"/>
        <v>9</v>
      </c>
      <c r="C17" s="155">
        <f t="shared" si="10"/>
        <v>2029</v>
      </c>
      <c r="D17" s="156">
        <f t="shared" si="11"/>
        <v>147875.30019047618</v>
      </c>
      <c r="E17" s="157">
        <f t="shared" si="2"/>
        <v>5.9659777224432498E-2</v>
      </c>
      <c r="G17" s="154">
        <f t="shared" si="3"/>
        <v>9</v>
      </c>
      <c r="H17" s="155">
        <f t="shared" si="4"/>
        <v>2029</v>
      </c>
      <c r="I17" s="156">
        <f t="shared" si="12"/>
        <v>21559.632571428552</v>
      </c>
      <c r="J17" s="157">
        <f t="shared" si="5"/>
        <v>6.6268124853449351E-2</v>
      </c>
      <c r="L17" s="154">
        <f t="shared" si="6"/>
        <v>9</v>
      </c>
      <c r="M17" s="155">
        <f t="shared" si="7"/>
        <v>2029</v>
      </c>
      <c r="N17" s="156">
        <f t="shared" si="13"/>
        <v>15911.196571428554</v>
      </c>
      <c r="O17" s="157">
        <f t="shared" si="8"/>
        <v>6.9161718337842348E-2</v>
      </c>
    </row>
    <row r="18" spans="2:15" x14ac:dyDescent="0.3">
      <c r="B18" s="154">
        <f t="shared" si="9"/>
        <v>10</v>
      </c>
      <c r="C18" s="155">
        <f t="shared" si="10"/>
        <v>2030</v>
      </c>
      <c r="D18" s="156">
        <f t="shared" si="11"/>
        <v>156200.80961904762</v>
      </c>
      <c r="E18" s="157">
        <f t="shared" si="2"/>
        <v>5.6300879307412899E-2</v>
      </c>
      <c r="G18" s="154">
        <f t="shared" si="3"/>
        <v>10</v>
      </c>
      <c r="H18" s="155">
        <f t="shared" si="4"/>
        <v>2030</v>
      </c>
      <c r="I18" s="156">
        <f t="shared" si="12"/>
        <v>22899.554857142833</v>
      </c>
      <c r="J18" s="157">
        <f t="shared" si="5"/>
        <v>6.2149588184076343E-2</v>
      </c>
      <c r="L18" s="154">
        <f t="shared" si="6"/>
        <v>10</v>
      </c>
      <c r="M18" s="155">
        <f t="shared" si="7"/>
        <v>2030</v>
      </c>
      <c r="N18" s="156">
        <f t="shared" si="13"/>
        <v>16940.456857142835</v>
      </c>
      <c r="O18" s="157">
        <f t="shared" si="8"/>
        <v>6.4687799003282143E-2</v>
      </c>
    </row>
    <row r="19" spans="2:15" x14ac:dyDescent="0.3">
      <c r="B19" s="154">
        <f t="shared" si="9"/>
        <v>11</v>
      </c>
      <c r="C19" s="155">
        <f t="shared" si="10"/>
        <v>2031</v>
      </c>
      <c r="D19" s="156">
        <f t="shared" si="11"/>
        <v>164526.31904761906</v>
      </c>
      <c r="E19" s="157">
        <f t="shared" si="2"/>
        <v>5.3300040178256625E-2</v>
      </c>
      <c r="G19" s="154">
        <f t="shared" si="3"/>
        <v>11</v>
      </c>
      <c r="H19" s="155">
        <f t="shared" si="4"/>
        <v>2031</v>
      </c>
      <c r="I19" s="156">
        <f t="shared" si="12"/>
        <v>24239.477142857118</v>
      </c>
      <c r="J19" s="157">
        <f t="shared" si="5"/>
        <v>5.8513027614435664E-2</v>
      </c>
      <c r="L19" s="154">
        <f t="shared" si="6"/>
        <v>11</v>
      </c>
      <c r="M19" s="155">
        <f t="shared" si="7"/>
        <v>2031</v>
      </c>
      <c r="N19" s="156">
        <f t="shared" si="13"/>
        <v>17969.71714285712</v>
      </c>
      <c r="O19" s="157">
        <f t="shared" si="8"/>
        <v>6.0757528229252289E-2</v>
      </c>
    </row>
    <row r="20" spans="2:15" x14ac:dyDescent="0.3">
      <c r="C20" s="139"/>
      <c r="D20" s="85"/>
      <c r="E20" s="140"/>
      <c r="G20" s="38"/>
      <c r="H20" s="139"/>
      <c r="I20" s="85"/>
      <c r="J20" s="140"/>
      <c r="L20" s="38"/>
      <c r="M20" s="139"/>
      <c r="N20" s="85"/>
      <c r="O20" s="140"/>
    </row>
    <row r="21" spans="2:15" x14ac:dyDescent="0.3">
      <c r="C21" s="139"/>
      <c r="D21" s="85"/>
      <c r="E21" s="140"/>
      <c r="G21" s="38"/>
      <c r="H21" s="139"/>
      <c r="I21" s="85"/>
      <c r="J21" s="140"/>
      <c r="L21" s="38"/>
      <c r="M21" s="139"/>
      <c r="N21" s="85"/>
      <c r="O21" s="140"/>
    </row>
    <row r="22" spans="2:15" x14ac:dyDescent="0.3">
      <c r="C22" s="231" t="s">
        <v>227</v>
      </c>
      <c r="D22" s="231"/>
      <c r="H22" s="231" t="s">
        <v>229</v>
      </c>
      <c r="I22" s="231"/>
      <c r="M22" s="231" t="s">
        <v>231</v>
      </c>
      <c r="N22" s="231"/>
    </row>
  </sheetData>
  <mergeCells count="7">
    <mergeCell ref="B2:I4"/>
    <mergeCell ref="B7:E7"/>
    <mergeCell ref="G7:J7"/>
    <mergeCell ref="L7:O7"/>
    <mergeCell ref="C22:D22"/>
    <mergeCell ref="H22:I22"/>
    <mergeCell ref="M22:N22"/>
  </mergeCells>
  <pageMargins left="0.25" right="0.25" top="0.75" bottom="0.75" header="0.3" footer="0.3"/>
  <pageSetup scale="91"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8CF05-5E21-4014-890D-C847A18E6C19}">
  <sheetPr>
    <tabColor rgb="FF92D050"/>
    <pageSetUpPr fitToPage="1"/>
  </sheetPr>
  <dimension ref="B1:J48"/>
  <sheetViews>
    <sheetView showGridLines="0" topLeftCell="A23" zoomScaleNormal="100" workbookViewId="0">
      <selection activeCell="B2" sqref="B2:J4"/>
    </sheetView>
  </sheetViews>
  <sheetFormatPr defaultRowHeight="14.4" x14ac:dyDescent="0.3"/>
  <cols>
    <col min="1" max="1" width="1.88671875" customWidth="1"/>
    <col min="2" max="2" width="21.109375" customWidth="1"/>
    <col min="3" max="3" width="7.44140625" bestFit="1" customWidth="1"/>
    <col min="4" max="4" width="13.6640625" customWidth="1"/>
    <col min="5" max="5" width="11.109375" bestFit="1" customWidth="1"/>
    <col min="6" max="6" width="9.21875" bestFit="1" customWidth="1"/>
    <col min="8" max="8" width="11.109375" customWidth="1"/>
    <col min="9" max="9" width="11.21875" customWidth="1"/>
    <col min="10" max="10" width="11.33203125" customWidth="1"/>
  </cols>
  <sheetData>
    <row r="1" spans="2:10" ht="5.4" customHeight="1" thickBot="1" x14ac:dyDescent="0.35"/>
    <row r="2" spans="2:10" ht="15" thickTop="1" x14ac:dyDescent="0.3">
      <c r="B2" s="224" t="s">
        <v>221</v>
      </c>
      <c r="C2" s="224"/>
      <c r="D2" s="224"/>
      <c r="E2" s="224"/>
      <c r="F2" s="224"/>
      <c r="G2" s="224"/>
      <c r="H2" s="224"/>
      <c r="I2" s="224"/>
      <c r="J2" s="82"/>
    </row>
    <row r="3" spans="2:10" x14ac:dyDescent="0.3">
      <c r="B3" s="225"/>
      <c r="C3" s="225"/>
      <c r="D3" s="225"/>
      <c r="E3" s="225"/>
      <c r="F3" s="225"/>
      <c r="G3" s="225"/>
      <c r="H3" s="225"/>
      <c r="I3" s="225"/>
      <c r="J3" s="83"/>
    </row>
    <row r="4" spans="2:10" ht="15" thickBot="1" x14ac:dyDescent="0.35">
      <c r="B4" s="226"/>
      <c r="C4" s="226"/>
      <c r="D4" s="226"/>
      <c r="E4" s="226"/>
      <c r="F4" s="226"/>
      <c r="G4" s="226"/>
      <c r="H4" s="226"/>
      <c r="I4" s="226"/>
      <c r="J4" s="81"/>
    </row>
    <row r="5" spans="2:10" ht="4.8" customHeight="1" thickTop="1" x14ac:dyDescent="0.3"/>
    <row r="7" spans="2:10" x14ac:dyDescent="0.3">
      <c r="B7" s="87" t="s">
        <v>233</v>
      </c>
      <c r="C7" s="88"/>
      <c r="D7" s="88"/>
      <c r="E7" s="88"/>
      <c r="F7" s="88"/>
      <c r="G7" s="88"/>
      <c r="H7" s="88"/>
      <c r="I7" s="88"/>
      <c r="J7" s="88"/>
    </row>
    <row r="9" spans="2:10" x14ac:dyDescent="0.3">
      <c r="B9" s="89" t="s">
        <v>247</v>
      </c>
    </row>
    <row r="11" spans="2:10" ht="15" thickBot="1" x14ac:dyDescent="0.35">
      <c r="B11" s="91" t="s">
        <v>248</v>
      </c>
      <c r="C11" s="92"/>
      <c r="D11" s="92"/>
      <c r="E11" s="92"/>
      <c r="F11" s="92"/>
      <c r="G11" s="92"/>
      <c r="H11" s="92"/>
      <c r="I11" s="232" t="s">
        <v>329</v>
      </c>
      <c r="J11" s="232"/>
    </row>
    <row r="12" spans="2:10" x14ac:dyDescent="0.3">
      <c r="G12" s="24" t="s">
        <v>240</v>
      </c>
      <c r="H12" s="24" t="s">
        <v>240</v>
      </c>
      <c r="I12" s="24" t="s">
        <v>243</v>
      </c>
      <c r="J12" s="24" t="s">
        <v>244</v>
      </c>
    </row>
    <row r="13" spans="2:10" ht="16.8" thickBot="1" x14ac:dyDescent="0.35">
      <c r="B13" s="92" t="s">
        <v>249</v>
      </c>
      <c r="C13" s="92" t="s">
        <v>234</v>
      </c>
      <c r="D13" s="92" t="s">
        <v>235</v>
      </c>
      <c r="E13" s="92" t="s">
        <v>236</v>
      </c>
      <c r="F13" s="92" t="s">
        <v>238</v>
      </c>
      <c r="G13" s="119" t="s">
        <v>241</v>
      </c>
      <c r="H13" s="119" t="s">
        <v>242</v>
      </c>
      <c r="I13" s="119" t="s">
        <v>245</v>
      </c>
      <c r="J13" s="119" t="s">
        <v>246</v>
      </c>
    </row>
    <row r="15" spans="2:10" x14ac:dyDescent="0.3">
      <c r="B15" s="93" t="s">
        <v>250</v>
      </c>
      <c r="C15" s="93" t="s">
        <v>254</v>
      </c>
      <c r="D15" s="120">
        <f>'Beta - Comps'!F7</f>
        <v>38.11</v>
      </c>
      <c r="E15" s="121">
        <f>'Beta - Comps'!E7</f>
        <v>8340.6200000000008</v>
      </c>
      <c r="F15" s="107">
        <v>0.3</v>
      </c>
      <c r="G15" s="97">
        <f>D15/E15</f>
        <v>4.5692046874213181E-3</v>
      </c>
      <c r="H15" s="97">
        <f>D15/(E15+D15)</f>
        <v>4.5484220162244149E-3</v>
      </c>
      <c r="I15" s="106">
        <v>1.18</v>
      </c>
      <c r="J15" s="100">
        <f>I15/1+(1-F15)*G15</f>
        <v>1.1831984432811948</v>
      </c>
    </row>
    <row r="16" spans="2:10" x14ac:dyDescent="0.3">
      <c r="B16" s="93" t="s">
        <v>251</v>
      </c>
      <c r="C16" s="93" t="s">
        <v>254</v>
      </c>
      <c r="D16" s="120">
        <f>'Beta - Comps'!F9</f>
        <v>148.08000000000001</v>
      </c>
      <c r="E16" s="121">
        <f>'Beta - Comps'!E9</f>
        <v>2852.76</v>
      </c>
      <c r="F16" s="107">
        <v>0.3</v>
      </c>
      <c r="G16" s="97">
        <f>D16/E16</f>
        <v>5.1907626298742272E-2</v>
      </c>
      <c r="H16" s="97">
        <f t="shared" ref="H16:H19" si="0">D16/(E16+D16)</f>
        <v>4.9346183068740751E-2</v>
      </c>
      <c r="I16" s="106">
        <v>1.29</v>
      </c>
      <c r="J16" s="100">
        <f t="shared" ref="J16:J19" si="1">I16/1+(1-F16)*G16</f>
        <v>1.3263353384091197</v>
      </c>
    </row>
    <row r="17" spans="2:10" x14ac:dyDescent="0.3">
      <c r="B17" s="93" t="s">
        <v>252</v>
      </c>
      <c r="C17" s="93" t="s">
        <v>254</v>
      </c>
      <c r="D17" s="120">
        <f>'Beta - Comps'!F10</f>
        <v>86.4</v>
      </c>
      <c r="E17" s="121">
        <f>'Beta - Comps'!E10</f>
        <v>1411.95</v>
      </c>
      <c r="F17" s="107">
        <v>0.3</v>
      </c>
      <c r="G17" s="97">
        <f t="shared" ref="G17:G19" si="2">D17/E17</f>
        <v>6.1191968554127271E-2</v>
      </c>
      <c r="H17" s="97">
        <f t="shared" si="0"/>
        <v>5.7663429772750026E-2</v>
      </c>
      <c r="I17" s="106">
        <v>0.52</v>
      </c>
      <c r="J17" s="100">
        <f t="shared" si="1"/>
        <v>0.56283437798788916</v>
      </c>
    </row>
    <row r="18" spans="2:10" x14ac:dyDescent="0.3">
      <c r="B18" s="93" t="s">
        <v>253</v>
      </c>
      <c r="C18" s="93" t="s">
        <v>254</v>
      </c>
      <c r="D18" s="120">
        <v>49.98</v>
      </c>
      <c r="E18" s="121">
        <v>332.42</v>
      </c>
      <c r="F18" s="107">
        <v>0.3</v>
      </c>
      <c r="G18" s="97">
        <f t="shared" si="2"/>
        <v>0.15035196438240778</v>
      </c>
      <c r="H18" s="97">
        <f t="shared" si="0"/>
        <v>0.13070083682008365</v>
      </c>
      <c r="I18" s="106">
        <v>0.82</v>
      </c>
      <c r="J18" s="100">
        <f t="shared" si="1"/>
        <v>0.92524637506768537</v>
      </c>
    </row>
    <row r="19" spans="2:10" x14ac:dyDescent="0.3">
      <c r="B19" s="108" t="s">
        <v>314</v>
      </c>
      <c r="C19" s="108" t="s">
        <v>254</v>
      </c>
      <c r="D19" s="122">
        <f>'Beta - Comps'!F8</f>
        <v>29.39</v>
      </c>
      <c r="E19" s="123">
        <f>'Beta - Comps'!E8</f>
        <v>4417.68</v>
      </c>
      <c r="F19" s="109">
        <v>0.3</v>
      </c>
      <c r="G19" s="110">
        <f t="shared" si="2"/>
        <v>6.6528132413393448E-3</v>
      </c>
      <c r="H19" s="110">
        <f t="shared" si="0"/>
        <v>6.6088458243292771E-3</v>
      </c>
      <c r="I19" s="111">
        <f>'Beta - Regression'!M13</f>
        <v>0.18276102568906685</v>
      </c>
      <c r="J19" s="112">
        <f t="shared" si="1"/>
        <v>0.1874179949580044</v>
      </c>
    </row>
    <row r="20" spans="2:10" ht="15" thickBot="1" x14ac:dyDescent="0.35"/>
    <row r="21" spans="2:10" x14ac:dyDescent="0.3">
      <c r="E21" s="113" t="s">
        <v>320</v>
      </c>
      <c r="F21" s="114">
        <f>AVERAGE(F15:F19)</f>
        <v>0.3</v>
      </c>
      <c r="G21" s="114">
        <f t="shared" ref="G21:H21" si="3">AVERAGE(G15:G19)</f>
        <v>5.493471543280759E-2</v>
      </c>
      <c r="H21" s="114">
        <f t="shared" si="3"/>
        <v>4.9773543500425628E-2</v>
      </c>
      <c r="I21" s="114">
        <f>AVERAGE(I15:I19)</f>
        <v>0.79855220513781333</v>
      </c>
      <c r="J21" s="115">
        <f>AVERAGE(J15:J19)</f>
        <v>0.83700650594077874</v>
      </c>
    </row>
    <row r="22" spans="2:10" ht="15" thickBot="1" x14ac:dyDescent="0.35">
      <c r="E22" s="91" t="s">
        <v>198</v>
      </c>
      <c r="F22" s="116">
        <f>MEDIAN(F15:F19)</f>
        <v>0.3</v>
      </c>
      <c r="G22" s="116">
        <f t="shared" ref="G22:J22" si="4">MEDIAN(G15:G19)</f>
        <v>5.1907626298742272E-2</v>
      </c>
      <c r="H22" s="116">
        <f t="shared" si="4"/>
        <v>4.9346183068740751E-2</v>
      </c>
      <c r="I22" s="116">
        <f t="shared" si="4"/>
        <v>0.82</v>
      </c>
      <c r="J22" s="117">
        <f t="shared" si="4"/>
        <v>0.92524637506768537</v>
      </c>
    </row>
    <row r="23" spans="2:10" x14ac:dyDescent="0.3">
      <c r="E23" s="96"/>
      <c r="F23" s="65"/>
      <c r="G23" s="65"/>
      <c r="H23" s="65"/>
      <c r="I23" s="65"/>
      <c r="J23" s="100"/>
    </row>
    <row r="25" spans="2:10" ht="15" thickBot="1" x14ac:dyDescent="0.35">
      <c r="B25" s="91" t="s">
        <v>255</v>
      </c>
      <c r="C25" s="92"/>
      <c r="D25" s="92"/>
      <c r="E25" s="92"/>
      <c r="G25" s="91" t="s">
        <v>258</v>
      </c>
      <c r="H25" s="92"/>
      <c r="I25" s="92"/>
      <c r="J25" s="92"/>
    </row>
    <row r="27" spans="2:10" x14ac:dyDescent="0.3">
      <c r="B27" t="s">
        <v>256</v>
      </c>
      <c r="E27" s="65">
        <f>HistoricalFS!H24/(SUM(HistoricalFS!H78,HistoricalFS!H84))</f>
        <v>0.12007581299913911</v>
      </c>
      <c r="G27" t="s">
        <v>259</v>
      </c>
      <c r="J27" s="118">
        <v>6.7599999999999993E-2</v>
      </c>
    </row>
    <row r="28" spans="2:10" x14ac:dyDescent="0.3">
      <c r="B28" t="s">
        <v>237</v>
      </c>
      <c r="E28" s="65">
        <f>F22</f>
        <v>0.3</v>
      </c>
      <c r="G28" t="s">
        <v>260</v>
      </c>
      <c r="J28" s="65">
        <f>Rm!F13-J27</f>
        <v>9.6892307692307722E-2</v>
      </c>
    </row>
    <row r="29" spans="2:10" ht="16.2" x14ac:dyDescent="0.3">
      <c r="B29" s="90" t="s">
        <v>257</v>
      </c>
      <c r="C29" s="90"/>
      <c r="D29" s="90"/>
      <c r="E29" s="127">
        <f>E27*(1-E28)</f>
        <v>8.4053069099397373E-2</v>
      </c>
      <c r="G29" t="s">
        <v>261</v>
      </c>
      <c r="J29" s="131">
        <f>J38</f>
        <v>1.1884120846666071</v>
      </c>
    </row>
    <row r="30" spans="2:10" x14ac:dyDescent="0.3">
      <c r="G30" s="90" t="s">
        <v>258</v>
      </c>
      <c r="H30" s="90"/>
      <c r="I30" s="90"/>
      <c r="J30" s="65">
        <f>J27+(J28)*J29</f>
        <v>0.18274798937277376</v>
      </c>
    </row>
    <row r="33" spans="2:10" ht="15" thickBot="1" x14ac:dyDescent="0.35">
      <c r="B33" s="91" t="s">
        <v>262</v>
      </c>
      <c r="C33" s="92"/>
      <c r="D33" s="92"/>
      <c r="E33" s="92"/>
      <c r="G33" s="91" t="s">
        <v>267</v>
      </c>
      <c r="H33" s="92"/>
      <c r="I33" s="92"/>
      <c r="J33" s="92"/>
    </row>
    <row r="35" spans="2:10" x14ac:dyDescent="0.3">
      <c r="D35" s="133" t="s">
        <v>265</v>
      </c>
      <c r="E35" s="133" t="s">
        <v>266</v>
      </c>
      <c r="G35" t="s">
        <v>268</v>
      </c>
      <c r="J35" s="100">
        <f>J22</f>
        <v>0.92524637506768537</v>
      </c>
    </row>
    <row r="36" spans="2:10" x14ac:dyDescent="0.3">
      <c r="B36" t="s">
        <v>235</v>
      </c>
      <c r="C36" s="136">
        <f>D19</f>
        <v>29.39</v>
      </c>
      <c r="D36" s="65">
        <f>C36/$C$38</f>
        <v>6.6088458243292771E-3</v>
      </c>
      <c r="E36" s="65">
        <f>H22</f>
        <v>4.9346183068740751E-2</v>
      </c>
      <c r="G36" t="s">
        <v>269</v>
      </c>
      <c r="J36" s="65">
        <f>E40</f>
        <v>5.1907626298742265E-2</v>
      </c>
    </row>
    <row r="37" spans="2:10" x14ac:dyDescent="0.3">
      <c r="B37" t="s">
        <v>263</v>
      </c>
      <c r="C37" s="136">
        <f>E19</f>
        <v>4417.68</v>
      </c>
      <c r="D37" s="65">
        <f>100%-D36</f>
        <v>0.9933911541756707</v>
      </c>
      <c r="E37" s="65">
        <f>E38-E36</f>
        <v>0.95065381693125928</v>
      </c>
      <c r="G37" t="s">
        <v>237</v>
      </c>
      <c r="J37" s="126">
        <f>F22</f>
        <v>0.3</v>
      </c>
    </row>
    <row r="38" spans="2:10" x14ac:dyDescent="0.3">
      <c r="B38" t="s">
        <v>264</v>
      </c>
      <c r="C38" s="124">
        <f>C36+C37</f>
        <v>4447.0700000000006</v>
      </c>
      <c r="D38" s="125">
        <f>D37+D36</f>
        <v>1</v>
      </c>
      <c r="E38" s="125">
        <f>D38</f>
        <v>1</v>
      </c>
      <c r="G38" s="90" t="s">
        <v>267</v>
      </c>
      <c r="H38" s="90"/>
      <c r="I38" s="90"/>
      <c r="J38" s="100">
        <f>J35*(1+(1-J36)*J37)</f>
        <v>1.1884120846666071</v>
      </c>
    </row>
    <row r="40" spans="2:10" ht="15" thickBot="1" x14ac:dyDescent="0.35">
      <c r="B40" t="s">
        <v>239</v>
      </c>
      <c r="D40" s="65">
        <f>D36/D37</f>
        <v>6.6528132413393457E-3</v>
      </c>
      <c r="E40" s="65">
        <f>E36/E37</f>
        <v>5.1907626298742265E-2</v>
      </c>
      <c r="G40" s="91" t="s">
        <v>233</v>
      </c>
      <c r="H40" s="92"/>
      <c r="I40" s="92"/>
      <c r="J40" s="92"/>
    </row>
    <row r="42" spans="2:10" x14ac:dyDescent="0.3">
      <c r="G42" t="s">
        <v>258</v>
      </c>
      <c r="J42" s="65">
        <f>J30</f>
        <v>0.18274798937277376</v>
      </c>
    </row>
    <row r="43" spans="2:10" x14ac:dyDescent="0.3">
      <c r="G43" t="s">
        <v>326</v>
      </c>
      <c r="J43" s="65">
        <f>E37</f>
        <v>0.95065381693125928</v>
      </c>
    </row>
    <row r="45" spans="2:10" x14ac:dyDescent="0.3">
      <c r="B45" s="79" t="s">
        <v>270</v>
      </c>
      <c r="G45" t="s">
        <v>255</v>
      </c>
      <c r="J45" s="65">
        <f>E29</f>
        <v>8.4053069099397373E-2</v>
      </c>
    </row>
    <row r="46" spans="2:10" x14ac:dyDescent="0.3">
      <c r="B46" s="79" t="s">
        <v>271</v>
      </c>
      <c r="G46" t="s">
        <v>327</v>
      </c>
      <c r="J46" s="65">
        <f>E36</f>
        <v>4.9346183068740751E-2</v>
      </c>
    </row>
    <row r="47" spans="2:10" x14ac:dyDescent="0.3">
      <c r="B47" s="79" t="s">
        <v>272</v>
      </c>
    </row>
    <row r="48" spans="2:10" x14ac:dyDescent="0.3">
      <c r="B48" s="79" t="s">
        <v>273</v>
      </c>
      <c r="G48" s="104" t="s">
        <v>328</v>
      </c>
      <c r="H48" s="104"/>
      <c r="I48" s="104"/>
      <c r="J48" s="132">
        <f>(J42*J43)+(J45*J46)</f>
        <v>0.17787777176900896</v>
      </c>
    </row>
  </sheetData>
  <mergeCells count="2">
    <mergeCell ref="B2:I4"/>
    <mergeCell ref="I11:J11"/>
  </mergeCells>
  <pageMargins left="0.7" right="0.7" top="0.75" bottom="0.75" header="0.3" footer="0.3"/>
  <pageSetup scale="84"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C55FA-FDBD-4A58-BAA9-F3B0F88540D1}">
  <sheetPr>
    <tabColor rgb="FF92D050"/>
    <pageSetUpPr fitToPage="1"/>
  </sheetPr>
  <dimension ref="B1:H65"/>
  <sheetViews>
    <sheetView showGridLines="0" workbookViewId="0">
      <selection activeCell="B2" sqref="B2:H4"/>
    </sheetView>
  </sheetViews>
  <sheetFormatPr defaultRowHeight="14.4" x14ac:dyDescent="0.3"/>
  <cols>
    <col min="1" max="1" width="1.88671875" customWidth="1"/>
    <col min="2" max="2" width="36.21875" customWidth="1"/>
  </cols>
  <sheetData>
    <row r="1" spans="2:8" ht="15" thickBot="1" x14ac:dyDescent="0.35"/>
    <row r="2" spans="2:8" ht="15" thickTop="1" x14ac:dyDescent="0.3">
      <c r="B2" s="224" t="s">
        <v>221</v>
      </c>
      <c r="C2" s="224"/>
      <c r="D2" s="224"/>
      <c r="E2" s="224"/>
      <c r="F2" s="224"/>
      <c r="G2" s="224"/>
      <c r="H2" s="224"/>
    </row>
    <row r="3" spans="2:8" x14ac:dyDescent="0.3">
      <c r="B3" s="225"/>
      <c r="C3" s="225"/>
      <c r="D3" s="225"/>
      <c r="E3" s="225"/>
      <c r="F3" s="225"/>
      <c r="G3" s="225"/>
      <c r="H3" s="225"/>
    </row>
    <row r="4" spans="2:8" ht="15" thickBot="1" x14ac:dyDescent="0.35">
      <c r="B4" s="226"/>
      <c r="C4" s="226"/>
      <c r="D4" s="226"/>
      <c r="E4" s="226"/>
      <c r="F4" s="226"/>
      <c r="G4" s="226"/>
      <c r="H4" s="226"/>
    </row>
    <row r="5" spans="2:8" ht="15" thickTop="1" x14ac:dyDescent="0.3"/>
    <row r="6" spans="2:8" x14ac:dyDescent="0.3">
      <c r="B6" s="233" t="s">
        <v>330</v>
      </c>
      <c r="C6" s="233"/>
      <c r="D6" s="233"/>
      <c r="E6" s="233"/>
      <c r="F6" s="233"/>
      <c r="G6" s="233"/>
      <c r="H6" s="233"/>
    </row>
    <row r="8" spans="2:8" ht="15" thickBot="1" x14ac:dyDescent="0.35">
      <c r="B8" s="91" t="s">
        <v>2</v>
      </c>
      <c r="C8" s="91">
        <f>HistoricalFS!C7</f>
        <v>2021</v>
      </c>
      <c r="D8" s="91">
        <f>HistoricalFS!D7</f>
        <v>2022</v>
      </c>
      <c r="E8" s="91">
        <f>HistoricalFS!E7</f>
        <v>2023</v>
      </c>
      <c r="F8" s="91">
        <f>HistoricalFS!F7</f>
        <v>2024</v>
      </c>
      <c r="G8" s="91">
        <f>HistoricalFS!G7</f>
        <v>2025</v>
      </c>
      <c r="H8" s="91">
        <f>HistoricalFS!H7</f>
        <v>2026</v>
      </c>
    </row>
    <row r="10" spans="2:8" x14ac:dyDescent="0.3">
      <c r="B10" s="143" t="str">
        <f>'Income Statement'!A5</f>
        <v>Revenue from operations (net)</v>
      </c>
      <c r="C10" s="147">
        <f>'Income Statement'!B5/'Income Statement'!B$5</f>
        <v>1</v>
      </c>
      <c r="D10" s="147">
        <f>'Income Statement'!C5/'Income Statement'!C$5</f>
        <v>1</v>
      </c>
      <c r="E10" s="147">
        <f>'Income Statement'!D5/'Income Statement'!D$5</f>
        <v>1</v>
      </c>
      <c r="F10" s="147">
        <f>'Income Statement'!E5/'Income Statement'!E$5</f>
        <v>1</v>
      </c>
      <c r="G10" s="147">
        <f>'Income Statement'!F5/'Income Statement'!F$5</f>
        <v>1</v>
      </c>
      <c r="H10" s="147">
        <f>'Income Statement'!G5/'Income Statement'!G$5</f>
        <v>1</v>
      </c>
    </row>
    <row r="11" spans="2:8" x14ac:dyDescent="0.3">
      <c r="B11" s="144" t="str">
        <f>'Income Statement'!A6</f>
        <v>Other Income</v>
      </c>
      <c r="C11" s="145">
        <f>'Income Statement'!B6/'Income Statement'!B$5</f>
        <v>9.5252917720832098E-3</v>
      </c>
      <c r="D11" s="145">
        <f>'Income Statement'!C6/'Income Statement'!C$5</f>
        <v>6.1180868421363034E-3</v>
      </c>
      <c r="E11" s="145">
        <f>'Income Statement'!D6/'Income Statement'!D$5</f>
        <v>4.1360316963198265E-3</v>
      </c>
      <c r="F11" s="145">
        <f>'Income Statement'!E6/'Income Statement'!E$5</f>
        <v>1.0334036127726248E-2</v>
      </c>
      <c r="G11" s="145">
        <f>'Income Statement'!F6/'Income Statement'!F$5</f>
        <v>1.212504591055074E-2</v>
      </c>
      <c r="H11" s="145">
        <f>'Income Statement'!G6/'Income Statement'!G$5</f>
        <v>1.0358941017567421E-2</v>
      </c>
    </row>
    <row r="12" spans="2:8" x14ac:dyDescent="0.3">
      <c r="B12" s="144" t="str">
        <f>'Income Statement'!A9</f>
        <v>Cost of materials consumed</v>
      </c>
      <c r="C12" s="145">
        <f>'Income Statement'!B9/'Income Statement'!B5</f>
        <v>0.32026519553277638</v>
      </c>
      <c r="D12" s="145">
        <f>'Income Statement'!C9/'Income Statement'!C5</f>
        <v>0.4104119165951905</v>
      </c>
      <c r="E12" s="145">
        <f>'Income Statement'!D9/'Income Statement'!D5</f>
        <v>0.40231339388245124</v>
      </c>
      <c r="F12" s="145">
        <f>'Income Statement'!E9/'Income Statement'!E5</f>
        <v>0.34528692436271768</v>
      </c>
      <c r="G12" s="145">
        <f>'Income Statement'!F9/'Income Statement'!F5</f>
        <v>0.37990274939892804</v>
      </c>
      <c r="H12" s="145">
        <f>'Income Statement'!G9/'Income Statement'!G5</f>
        <v>0.38830297655737889</v>
      </c>
    </row>
    <row r="13" spans="2:8" x14ac:dyDescent="0.3">
      <c r="B13" s="144" t="str">
        <f>'Income Statement'!A10</f>
        <v>Purchases of Stock-in-Trade</v>
      </c>
      <c r="C13" s="145">
        <f>'Income Statement'!B10/'Income Statement'!B5</f>
        <v>0.1091170203656823</v>
      </c>
      <c r="D13" s="145">
        <f>'Income Statement'!C10/'Income Statement'!C5</f>
        <v>0.15660932813047521</v>
      </c>
      <c r="E13" s="145">
        <f>'Income Statement'!D10/'Income Statement'!D5</f>
        <v>0.10460859320239213</v>
      </c>
      <c r="F13" s="145">
        <f>'Income Statement'!E10/'Income Statement'!E5</f>
        <v>0.11832547526987509</v>
      </c>
      <c r="G13" s="145">
        <f>'Income Statement'!F10/'Income Statement'!F5</f>
        <v>0.10588465262047295</v>
      </c>
      <c r="H13" s="145">
        <f>'Income Statement'!G10/'Income Statement'!G5</f>
        <v>0.11482094771181058</v>
      </c>
    </row>
    <row r="14" spans="2:8" ht="28.8" x14ac:dyDescent="0.3">
      <c r="B14" s="146" t="s">
        <v>16</v>
      </c>
      <c r="C14" s="148">
        <f>'Income Statement'!B11/'Income Statement'!B5</f>
        <v>4.5850568032611741E-2</v>
      </c>
      <c r="D14" s="148">
        <f>'Income Statement'!C11/'Income Statement'!C5</f>
        <v>-5.6773825043300606E-2</v>
      </c>
      <c r="E14" s="148">
        <f>'Income Statement'!D11/'Income Statement'!D5</f>
        <v>1.5295363369275052E-3</v>
      </c>
      <c r="F14" s="148">
        <f>'Income Statement'!E11/'Income Statement'!E5</f>
        <v>1.7758146099149372E-2</v>
      </c>
      <c r="G14" s="148">
        <f>'Income Statement'!F11/'Income Statement'!F5</f>
        <v>-4.7677065051642984E-3</v>
      </c>
      <c r="H14" s="148">
        <f>'Income Statement'!G11/'Income Statement'!G5</f>
        <v>-1.1044296025794953E-2</v>
      </c>
    </row>
    <row r="15" spans="2:8" x14ac:dyDescent="0.3">
      <c r="B15" s="144" t="str">
        <f>'Income Statement'!A12</f>
        <v>Employee benefits expense</v>
      </c>
      <c r="C15" s="145">
        <f>'Income Statement'!B12/'Income Statement'!B5</f>
        <v>0.1313647799740624</v>
      </c>
      <c r="D15" s="145">
        <f>'Income Statement'!C12/'Income Statement'!C5</f>
        <v>0.11083964614635788</v>
      </c>
      <c r="E15" s="145">
        <f>'Income Statement'!D12/'Income Statement'!D5</f>
        <v>0.11208576300339533</v>
      </c>
      <c r="F15" s="145">
        <f>'Income Statement'!E12/'Income Statement'!E5</f>
        <v>0.11296502845238347</v>
      </c>
      <c r="G15" s="145">
        <f>'Income Statement'!F12/'Income Statement'!F5</f>
        <v>0.10978917803399056</v>
      </c>
      <c r="H15" s="145">
        <f>'Income Statement'!G12/'Income Statement'!G5</f>
        <v>0.10266134355919933</v>
      </c>
    </row>
    <row r="16" spans="2:8" x14ac:dyDescent="0.3">
      <c r="B16" s="144" t="str">
        <f>'Income Statement'!A13</f>
        <v>Finance costs</v>
      </c>
      <c r="C16" s="145">
        <f>'Income Statement'!B13/'Income Statement'!B5</f>
        <v>6.1614185472908525E-3</v>
      </c>
      <c r="D16" s="145">
        <f>'Income Statement'!C13/'Income Statement'!C5</f>
        <v>6.3225728198157043E-3</v>
      </c>
      <c r="E16" s="145">
        <f>'Income Statement'!D13/'Income Statement'!D5</f>
        <v>4.8350807073011893E-3</v>
      </c>
      <c r="F16" s="145">
        <f>'Income Statement'!E13/'Income Statement'!E5</f>
        <v>4.4429051729449314E-3</v>
      </c>
      <c r="G16" s="145">
        <f>'Income Statement'!F13/'Income Statement'!F5</f>
        <v>2.6019115638661692E-3</v>
      </c>
      <c r="H16" s="145">
        <f>'Income Statement'!G13/'Income Statement'!G5</f>
        <v>2.816444337991518E-3</v>
      </c>
    </row>
    <row r="17" spans="2:8" x14ac:dyDescent="0.3">
      <c r="B17" s="144" t="str">
        <f>'Income Statement'!A14</f>
        <v>Depreciation and amortization expense</v>
      </c>
      <c r="C17" s="145">
        <f>'Income Statement'!B14/'Income Statement'!B5</f>
        <v>6.9377770640843221E-3</v>
      </c>
      <c r="D17" s="145">
        <f>'Income Statement'!C14/'Income Statement'!C5</f>
        <v>6.9488698418046797E-3</v>
      </c>
      <c r="E17" s="145">
        <f>'Income Statement'!D14/'Income Statement'!D5</f>
        <v>7.6751226641611865E-3</v>
      </c>
      <c r="F17" s="145">
        <f>'Income Statement'!E14/'Income Statement'!E5</f>
        <v>8.4791315175896647E-3</v>
      </c>
      <c r="G17" s="145">
        <f>'Income Statement'!F14/'Income Statement'!F5</f>
        <v>9.2238755298422615E-3</v>
      </c>
      <c r="H17" s="145">
        <f>'Income Statement'!G14/'Income Statement'!G5</f>
        <v>1.0851467599117683E-2</v>
      </c>
    </row>
    <row r="18" spans="2:8" x14ac:dyDescent="0.3">
      <c r="B18" s="144" t="str">
        <f>'Income Statement'!A15</f>
        <v>Other expenses</v>
      </c>
      <c r="C18" s="145">
        <f>'Income Statement'!B15/'Income Statement'!B5</f>
        <v>0.24920587867101371</v>
      </c>
      <c r="D18" s="145">
        <f>'Income Statement'!C15/'Income Statement'!C5</f>
        <v>0.2539047792621365</v>
      </c>
      <c r="E18" s="145">
        <f>'Income Statement'!D15/'Income Statement'!D5</f>
        <v>0.24490875377189189</v>
      </c>
      <c r="F18" s="145">
        <f>'Income Statement'!E15/'Income Statement'!E5</f>
        <v>0.25900656905919128</v>
      </c>
      <c r="G18" s="145">
        <f>'Income Statement'!F15/'Income Statement'!F5</f>
        <v>0.27068502216343598</v>
      </c>
      <c r="H18" s="145">
        <f>'Income Statement'!G15/'Income Statement'!G5</f>
        <v>0.2609867308342631</v>
      </c>
    </row>
    <row r="19" spans="2:8" x14ac:dyDescent="0.3">
      <c r="B19" s="144" t="str">
        <f>'Income Statement'!A17</f>
        <v>Profit before tax</v>
      </c>
      <c r="C19" s="145">
        <f>'Income Statement'!B17/'Income Statement'!B5</f>
        <v>0.14062239332357701</v>
      </c>
      <c r="D19" s="145">
        <f>'Income Statement'!C17/'Income Statement'!C5</f>
        <v>0.11785490347249339</v>
      </c>
      <c r="E19" s="145">
        <f>'Income Statement'!D17/'Income Statement'!D5</f>
        <v>0.12617968870396054</v>
      </c>
      <c r="F19" s="145">
        <f>'Income Statement'!E17/'Income Statement'!E5</f>
        <v>0.14406995383585036</v>
      </c>
      <c r="G19" s="145">
        <f>'Income Statement'!F17/'Income Statement'!F5</f>
        <v>0.13880536310517902</v>
      </c>
      <c r="H19" s="145">
        <f>'Income Statement'!G17/'Income Statement'!G5</f>
        <v>0.14096332644360132</v>
      </c>
    </row>
    <row r="20" spans="2:8" x14ac:dyDescent="0.3">
      <c r="B20" s="144" t="str">
        <f>'Income Statement'!A19</f>
        <v>Current tax</v>
      </c>
      <c r="C20" s="145">
        <f>'Income Statement'!B19/'Income Statement'!B5</f>
        <v>3.4940037170473809E-2</v>
      </c>
      <c r="D20" s="145">
        <f>'Income Statement'!C19/'Income Statement'!C5</f>
        <v>2.9509028019380552E-2</v>
      </c>
      <c r="E20" s="145">
        <f>'Income Statement'!D19/'Income Statement'!D5</f>
        <v>3.2685885294717117E-2</v>
      </c>
      <c r="F20" s="145">
        <f>'Income Statement'!E19/'Income Statement'!E5</f>
        <v>3.6703618621379275E-2</v>
      </c>
      <c r="G20" s="145">
        <f>'Income Statement'!F19/'Income Statement'!F5</f>
        <v>3.4946062608995548E-2</v>
      </c>
      <c r="H20" s="145">
        <f>'Income Statement'!G19/'Income Statement'!G5</f>
        <v>3.5620582295556973E-2</v>
      </c>
    </row>
    <row r="21" spans="2:8" x14ac:dyDescent="0.3">
      <c r="B21" s="144" t="str">
        <f>'Income Statement'!A20</f>
        <v>Deferred tax</v>
      </c>
      <c r="C21" s="145">
        <f>'Income Statement'!B20/'Income Statement'!B5</f>
        <v>7.5098307080374057E-4</v>
      </c>
      <c r="D21" s="145">
        <f>'Income Statement'!C20/'Income Statement'!C5</f>
        <v>7.8297566032321732E-4</v>
      </c>
      <c r="E21" s="145">
        <f>'Income Statement'!D20/'Income Statement'!D5</f>
        <v>-7.3722776510123835E-4</v>
      </c>
      <c r="F21" s="145">
        <f>'Income Statement'!E20/'Income Statement'!E5</f>
        <v>1.2039255589295197E-4</v>
      </c>
      <c r="G21" s="145">
        <f>'Income Statement'!F20/'Income Statement'!F5</f>
        <v>1.0656446038499795E-3</v>
      </c>
      <c r="H21" s="145">
        <f>'Income Statement'!G20/'Income Statement'!G5</f>
        <v>6.3730752773923907E-4</v>
      </c>
    </row>
    <row r="22" spans="2:8" x14ac:dyDescent="0.3">
      <c r="B22" s="144" t="str">
        <f>'Income Statement'!A21</f>
        <v>Profit for the year (A)</v>
      </c>
      <c r="C22" s="145">
        <f>'Income Statement'!B21/'Income Statement'!B5</f>
        <v>0.10493137308229947</v>
      </c>
      <c r="D22" s="145">
        <f>'Income Statement'!C21/'Income Statement'!C5</f>
        <v>8.7562899792789625E-2</v>
      </c>
      <c r="E22" s="145">
        <f>'Income Statement'!D21/'Income Statement'!D5</f>
        <v>9.423103117434467E-2</v>
      </c>
      <c r="F22" s="145">
        <f>'Income Statement'!E21/'Income Statement'!E5</f>
        <v>0.10724604030055372</v>
      </c>
      <c r="G22" s="145">
        <f>'Income Statement'!F21/'Income Statement'!F5</f>
        <v>0.10279365589233351</v>
      </c>
      <c r="H22" s="145">
        <f>'Income Statement'!G21/'Income Statement'!G5</f>
        <v>0.10470543662030511</v>
      </c>
    </row>
    <row r="23" spans="2:8" x14ac:dyDescent="0.3">
      <c r="B23" s="144" t="s">
        <v>229</v>
      </c>
      <c r="C23" s="145">
        <f>HistoricalFS!C21/HistoricalFS!C9</f>
        <v>0.14419655742385357</v>
      </c>
      <c r="D23" s="145">
        <f>HistoricalFS!D21/HistoricalFS!D9</f>
        <v>0.12500815490914055</v>
      </c>
      <c r="E23" s="145">
        <f>HistoricalFS!E21/HistoricalFS!E9</f>
        <v>0.13455395980294191</v>
      </c>
      <c r="F23" s="145">
        <f>HistoricalFS!F21/HistoricalFS!F9</f>
        <v>0.14665785675668311</v>
      </c>
      <c r="G23" s="145">
        <f>HistoricalFS!G21/HistoricalFS!G9</f>
        <v>0.13850610428833668</v>
      </c>
      <c r="H23" s="145">
        <f>HistoricalFS!H21/HistoricalFS!H9</f>
        <v>0.14427229736314301</v>
      </c>
    </row>
    <row r="25" spans="2:8" x14ac:dyDescent="0.3">
      <c r="B25" s="233" t="s">
        <v>331</v>
      </c>
      <c r="C25" s="233"/>
      <c r="D25" s="233"/>
      <c r="E25" s="233"/>
      <c r="F25" s="233"/>
      <c r="G25" s="233"/>
      <c r="H25" s="233"/>
    </row>
    <row r="26" spans="2:8" x14ac:dyDescent="0.3">
      <c r="B26" t="s">
        <v>332</v>
      </c>
    </row>
    <row r="27" spans="2:8" ht="15" thickBot="1" x14ac:dyDescent="0.35">
      <c r="B27" s="91" t="s">
        <v>2</v>
      </c>
      <c r="C27" s="91">
        <v>2021</v>
      </c>
      <c r="D27" s="91">
        <v>2022</v>
      </c>
      <c r="E27" s="91">
        <v>2023</v>
      </c>
      <c r="F27" s="91">
        <v>2024</v>
      </c>
      <c r="G27" s="91">
        <v>2025</v>
      </c>
      <c r="H27" s="91">
        <v>2026</v>
      </c>
    </row>
    <row r="28" spans="2:8" x14ac:dyDescent="0.3">
      <c r="B28" s="96"/>
      <c r="C28" s="96"/>
      <c r="D28" s="96"/>
      <c r="E28" s="96"/>
      <c r="F28" s="96"/>
      <c r="G28" s="96"/>
      <c r="H28" s="96"/>
    </row>
    <row r="29" spans="2:8" x14ac:dyDescent="0.3">
      <c r="B29" s="143" t="str">
        <f>HistoricalFS!B53</f>
        <v>NON-CURRENT ASSETS</v>
      </c>
      <c r="C29" s="144"/>
      <c r="D29" s="144"/>
      <c r="E29" s="144"/>
      <c r="F29" s="144"/>
      <c r="G29" s="144"/>
      <c r="H29" s="144"/>
    </row>
    <row r="30" spans="2:8" x14ac:dyDescent="0.3">
      <c r="B30" s="144" t="str">
        <f>HistoricalFS!B54</f>
        <v>Property, Plant and Equipment</v>
      </c>
      <c r="C30" s="145">
        <f>HistoricalFS!C54/HistoricalFS!C$71</f>
        <v>9.9270643835239064E-2</v>
      </c>
      <c r="D30" s="145">
        <f>HistoricalFS!D54/HistoricalFS!D$71</f>
        <v>0.12597985907600875</v>
      </c>
      <c r="E30" s="145">
        <f>HistoricalFS!E54/HistoricalFS!E$71</f>
        <v>0.14340234192322335</v>
      </c>
      <c r="F30" s="145">
        <f>HistoricalFS!F54/HistoricalFS!F$71</f>
        <v>0.136743615745168</v>
      </c>
      <c r="G30" s="145">
        <f>HistoricalFS!G54/HistoricalFS!G$71</f>
        <v>0.14440714400947824</v>
      </c>
      <c r="H30" s="145">
        <f>HistoricalFS!H54/HistoricalFS!H$71</f>
        <v>0.17432742731858872</v>
      </c>
    </row>
    <row r="31" spans="2:8" x14ac:dyDescent="0.3">
      <c r="B31" s="144" t="str">
        <f>HistoricalFS!B55</f>
        <v>Capital Work-in-Progress</v>
      </c>
      <c r="C31" s="145">
        <f>HistoricalFS!C55/HistoricalFS!C$71</f>
        <v>7.0905234203064759E-3</v>
      </c>
      <c r="D31" s="145">
        <f>HistoricalFS!D55/HistoricalFS!D$71</f>
        <v>7.885486078435585E-3</v>
      </c>
      <c r="E31" s="145">
        <f>HistoricalFS!E55/HistoricalFS!E$71</f>
        <v>4.6906668653421291E-3</v>
      </c>
      <c r="F31" s="145">
        <f>HistoricalFS!F55/HistoricalFS!F$71</f>
        <v>2.2581113521682218E-2</v>
      </c>
      <c r="G31" s="145">
        <f>HistoricalFS!G55/HistoricalFS!G$71</f>
        <v>3.8450103560941341E-2</v>
      </c>
      <c r="H31" s="145">
        <f>HistoricalFS!H55/HistoricalFS!H$71</f>
        <v>1.7363360777589355E-2</v>
      </c>
    </row>
    <row r="32" spans="2:8" x14ac:dyDescent="0.3">
      <c r="B32" s="144" t="str">
        <f>HistoricalFS!B56</f>
        <v>Intangible assets</v>
      </c>
      <c r="C32" s="145">
        <f>HistoricalFS!C56/HistoricalFS!C$71</f>
        <v>2.4206441923414797E-4</v>
      </c>
      <c r="D32" s="145">
        <f>HistoricalFS!D56/HistoricalFS!D$71</f>
        <v>4.1952123328992509E-4</v>
      </c>
      <c r="E32" s="145">
        <f>HistoricalFS!E56/HistoricalFS!E$71</f>
        <v>3.3189807688088785E-4</v>
      </c>
      <c r="F32" s="145">
        <f>HistoricalFS!F56/HistoricalFS!F$71</f>
        <v>2.255792845620911E-4</v>
      </c>
      <c r="G32" s="145">
        <f>HistoricalFS!G56/HistoricalFS!G$71</f>
        <v>7.8745362706483931E-4</v>
      </c>
      <c r="H32" s="145">
        <f>HistoricalFS!H56/HistoricalFS!H$71</f>
        <v>1.0017155868776132E-3</v>
      </c>
    </row>
    <row r="33" spans="2:8" x14ac:dyDescent="0.3">
      <c r="B33" s="144" t="str">
        <f>HistoricalFS!B57</f>
        <v>Investments</v>
      </c>
      <c r="C33" s="145">
        <f>HistoricalFS!C57/HistoricalFS!C$71</f>
        <v>6.3768287469480496E-6</v>
      </c>
      <c r="D33" s="145">
        <f>HistoricalFS!D57/HistoricalFS!D$71</f>
        <v>6.1012395766423073E-6</v>
      </c>
      <c r="E33" s="145">
        <f>HistoricalFS!E57/HistoricalFS!E$71</f>
        <v>5.4302695824752595E-6</v>
      </c>
      <c r="F33" s="145">
        <f>HistoricalFS!F57/HistoricalFS!F$71</f>
        <v>4.7510380067837222E-6</v>
      </c>
      <c r="G33" s="145">
        <f>HistoricalFS!G57/HistoricalFS!G$71</f>
        <v>4.2815007996130897E-6</v>
      </c>
      <c r="H33" s="145">
        <f>HistoricalFS!H57/HistoricalFS!H$71</f>
        <v>3.6325630507601288E-6</v>
      </c>
    </row>
    <row r="34" spans="2:8" x14ac:dyDescent="0.3">
      <c r="B34" s="144" t="str">
        <f>HistoricalFS!B58</f>
        <v>Other non-current financial assets</v>
      </c>
      <c r="C34" s="145">
        <f>HistoricalFS!C58/HistoricalFS!C$71</f>
        <v>2.8303426856753976E-2</v>
      </c>
      <c r="D34" s="145">
        <f>HistoricalFS!D58/HistoricalFS!D$71</f>
        <v>3.1841149102580873E-3</v>
      </c>
      <c r="E34" s="145">
        <f>HistoricalFS!E58/HistoricalFS!E$71</f>
        <v>1.6928105185625077E-2</v>
      </c>
      <c r="F34" s="145">
        <f>HistoricalFS!F58/HistoricalFS!F$71</f>
        <v>8.472811139777818E-3</v>
      </c>
      <c r="G34" s="145">
        <f>HistoricalFS!G58/HistoricalFS!G$71</f>
        <v>1.6030624033879344E-2</v>
      </c>
      <c r="H34" s="145">
        <f>HistoricalFS!H58/HistoricalFS!H$71</f>
        <v>7.8919611815594249E-3</v>
      </c>
    </row>
    <row r="35" spans="2:8" x14ac:dyDescent="0.3">
      <c r="B35" s="144" t="str">
        <f>HistoricalFS!B59</f>
        <v>Non-current tax assets (net)</v>
      </c>
      <c r="C35" s="145">
        <f>HistoricalFS!C59/HistoricalFS!C$71</f>
        <v>5.3213360527532083E-3</v>
      </c>
      <c r="D35" s="145">
        <f>HistoricalFS!D59/HistoricalFS!D$71</f>
        <v>7.7292943452735401E-3</v>
      </c>
      <c r="E35" s="145">
        <f>HistoricalFS!E59/HistoricalFS!E$71</f>
        <v>6.4311768719170995E-3</v>
      </c>
      <c r="F35" s="145">
        <f>HistoricalFS!F59/HistoricalFS!F$71</f>
        <v>5.9895385943921032E-3</v>
      </c>
      <c r="G35" s="145">
        <f>HistoricalFS!G59/HistoricalFS!G$71</f>
        <v>7.591100917714008E-3</v>
      </c>
      <c r="H35" s="145">
        <f>HistoricalFS!H59/HistoricalFS!H$71</f>
        <v>6.1279885641103071E-3</v>
      </c>
    </row>
    <row r="36" spans="2:8" x14ac:dyDescent="0.3">
      <c r="B36" s="144" t="str">
        <f>HistoricalFS!B60</f>
        <v>Deferred tax assets (net)</v>
      </c>
      <c r="C36" s="145">
        <f>HistoricalFS!C60/HistoricalFS!C$71</f>
        <v>2.1882725528026927E-3</v>
      </c>
      <c r="D36" s="145">
        <f>HistoricalFS!D60/HistoricalFS!D$71</f>
        <v>8.8589998652846298E-4</v>
      </c>
      <c r="E36" s="145">
        <f>HistoricalFS!E60/HistoricalFS!E$71</f>
        <v>2.4718587139427382E-3</v>
      </c>
      <c r="F36" s="145">
        <f>HistoricalFS!F60/HistoricalFS!F$71</f>
        <v>1.6778765824757393E-3</v>
      </c>
      <c r="G36" s="145">
        <f>HistoricalFS!G60/HistoricalFS!G$71</f>
        <v>3.2488028067464124E-4</v>
      </c>
      <c r="H36" s="145">
        <f>HistoricalFS!H60/HistoricalFS!H$71</f>
        <v>0</v>
      </c>
    </row>
    <row r="37" spans="2:8" x14ac:dyDescent="0.3">
      <c r="B37" s="144" t="str">
        <f>HistoricalFS!B61</f>
        <v>Other non-current assets</v>
      </c>
      <c r="C37" s="145">
        <f>HistoricalFS!C61/HistoricalFS!C$71</f>
        <v>9.3094047510945185E-3</v>
      </c>
      <c r="D37" s="145">
        <f>HistoricalFS!D61/HistoricalFS!D$71</f>
        <v>1.2722792864380671E-2</v>
      </c>
      <c r="E37" s="145">
        <f>HistoricalFS!E61/HistoricalFS!E$71</f>
        <v>1.2078657237691371E-2</v>
      </c>
      <c r="F37" s="145">
        <f>HistoricalFS!F61/HistoricalFS!F$71</f>
        <v>1.3001690609364333E-2</v>
      </c>
      <c r="G37" s="145">
        <f>HistoricalFS!G61/HistoricalFS!G$71</f>
        <v>1.0719679182007284E-2</v>
      </c>
      <c r="H37" s="145">
        <f>HistoricalFS!H61/HistoricalFS!H$71</f>
        <v>9.7191403960917699E-3</v>
      </c>
    </row>
    <row r="38" spans="2:8" x14ac:dyDescent="0.3">
      <c r="B38" s="143" t="str">
        <f>HistoricalFS!B63</f>
        <v>CURRENT ASSETS</v>
      </c>
      <c r="C38" s="145"/>
      <c r="D38" s="145"/>
      <c r="E38" s="145"/>
      <c r="F38" s="145"/>
      <c r="G38" s="145"/>
      <c r="H38" s="145"/>
    </row>
    <row r="39" spans="2:8" x14ac:dyDescent="0.3">
      <c r="B39" s="144" t="str">
        <f>HistoricalFS!B64</f>
        <v>Inventories</v>
      </c>
      <c r="C39" s="145">
        <f>HistoricalFS!C64/HistoricalFS!C$71</f>
        <v>0.24786809861332032</v>
      </c>
      <c r="D39" s="145">
        <f>HistoricalFS!D64/HistoricalFS!D$71</f>
        <v>0.43465401578707946</v>
      </c>
      <c r="E39" s="145">
        <f>HistoricalFS!E64/HistoricalFS!E$71</f>
        <v>0.36831064096078409</v>
      </c>
      <c r="F39" s="145">
        <f>HistoricalFS!F64/HistoricalFS!F$71</f>
        <v>0.26692604800296771</v>
      </c>
      <c r="G39" s="145">
        <f>HistoricalFS!G64/HistoricalFS!G$71</f>
        <v>0.25717485340997565</v>
      </c>
      <c r="H39" s="145">
        <f>HistoricalFS!H64/HistoricalFS!H$71</f>
        <v>0.2803840287536255</v>
      </c>
    </row>
    <row r="40" spans="2:8" x14ac:dyDescent="0.3">
      <c r="B40" s="144" t="str">
        <f>HistoricalFS!B65</f>
        <v>Trade receivables</v>
      </c>
      <c r="C40" s="145">
        <f>HistoricalFS!C65/HistoricalFS!C$71</f>
        <v>0.10203665707251525</v>
      </c>
      <c r="D40" s="145">
        <f>HistoricalFS!D65/HistoricalFS!D$71</f>
        <v>0.12893017448568991</v>
      </c>
      <c r="E40" s="145">
        <f>HistoricalFS!E65/HistoricalFS!E$71</f>
        <v>0.10299179616592558</v>
      </c>
      <c r="F40" s="145">
        <f>HistoricalFS!F65/HistoricalFS!F$71</f>
        <v>9.0665198532575403E-2</v>
      </c>
      <c r="G40" s="145">
        <f>HistoricalFS!G65/HistoricalFS!G$71</f>
        <v>0.10446656439017557</v>
      </c>
      <c r="H40" s="145">
        <f>HistoricalFS!H65/HistoricalFS!H$71</f>
        <v>8.3707475219018126E-2</v>
      </c>
    </row>
    <row r="41" spans="2:8" x14ac:dyDescent="0.3">
      <c r="B41" s="144" t="str">
        <f>HistoricalFS!B66</f>
        <v>Cash and cash equivalents</v>
      </c>
      <c r="C41" s="145">
        <f>HistoricalFS!C66/HistoricalFS!C$71</f>
        <v>5.4421642038503804E-2</v>
      </c>
      <c r="D41" s="145">
        <f>HistoricalFS!D66/HistoricalFS!D$71</f>
        <v>7.6978119490580671E-3</v>
      </c>
      <c r="E41" s="145">
        <f>HistoricalFS!E66/HistoricalFS!E$71</f>
        <v>2.4855647143689059E-2</v>
      </c>
      <c r="F41" s="145">
        <f>HistoricalFS!F66/HistoricalFS!F$71</f>
        <v>2.2922998216650375E-2</v>
      </c>
      <c r="G41" s="145">
        <f>HistoricalFS!G66/HistoricalFS!G$71</f>
        <v>1.8397780195969431E-2</v>
      </c>
      <c r="H41" s="145">
        <f>HistoricalFS!H66/HistoricalFS!H$71</f>
        <v>2.2804504320061935E-2</v>
      </c>
    </row>
    <row r="42" spans="2:8" x14ac:dyDescent="0.3">
      <c r="B42" s="144" t="str">
        <f>HistoricalFS!B67</f>
        <v>Bank balances other than above</v>
      </c>
      <c r="C42" s="145">
        <f>HistoricalFS!C67/HistoricalFS!C$71</f>
        <v>0.3717609536062752</v>
      </c>
      <c r="D42" s="145">
        <f>HistoricalFS!D67/HistoricalFS!D$71</f>
        <v>0.15127340191452018</v>
      </c>
      <c r="E42" s="145">
        <f>HistoricalFS!E67/HistoricalFS!E$71</f>
        <v>0.18919797742007022</v>
      </c>
      <c r="F42" s="145">
        <f>HistoricalFS!F67/HistoricalFS!F$71</f>
        <v>0.33502172554659737</v>
      </c>
      <c r="G42" s="145">
        <f>HistoricalFS!G67/HistoricalFS!G$71</f>
        <v>0.30655648481248915</v>
      </c>
      <c r="H42" s="145">
        <f>HistoricalFS!H67/HistoricalFS!H$71</f>
        <v>0.2546086690681299</v>
      </c>
    </row>
    <row r="43" spans="2:8" x14ac:dyDescent="0.3">
      <c r="B43" s="144" t="str">
        <f>HistoricalFS!B68</f>
        <v>Other current financial assets</v>
      </c>
      <c r="C43" s="145">
        <f>HistoricalFS!C68/HistoricalFS!C$71</f>
        <v>1.3352314176659582E-2</v>
      </c>
      <c r="D43" s="145">
        <f>HistoricalFS!D68/HistoricalFS!D$71</f>
        <v>5.9077082572712132E-3</v>
      </c>
      <c r="E43" s="145">
        <f>HistoricalFS!E68/HistoricalFS!E$71</f>
        <v>5.1494160396696395E-3</v>
      </c>
      <c r="F43" s="145">
        <f>HistoricalFS!F68/HistoricalFS!F$71</f>
        <v>9.3297083546813302E-3</v>
      </c>
      <c r="G43" s="145">
        <f>HistoricalFS!G68/HistoricalFS!G$71</f>
        <v>1.0150753355754698E-2</v>
      </c>
      <c r="H43" s="145">
        <f>HistoricalFS!H68/HistoricalFS!H$71</f>
        <v>6.6024012985395793E-3</v>
      </c>
    </row>
    <row r="44" spans="2:8" x14ac:dyDescent="0.3">
      <c r="B44" s="144" t="str">
        <f>HistoricalFS!B69</f>
        <v>Other current assets</v>
      </c>
      <c r="C44" s="145">
        <f>HistoricalFS!C69/HistoricalFS!C$71</f>
        <v>5.8828285775794777E-2</v>
      </c>
      <c r="D44" s="145">
        <f>HistoricalFS!D69/HistoricalFS!D$71</f>
        <v>0.11272381787262956</v>
      </c>
      <c r="E44" s="145">
        <f>HistoricalFS!E69/HistoricalFS!E$71</f>
        <v>0.12315438712565623</v>
      </c>
      <c r="F44" s="145">
        <f>HistoricalFS!F69/HistoricalFS!F$71</f>
        <v>8.6437344831098703E-2</v>
      </c>
      <c r="G44" s="145">
        <f>HistoricalFS!G69/HistoricalFS!G$71</f>
        <v>8.493829672307629E-2</v>
      </c>
      <c r="H44" s="145">
        <f>HistoricalFS!H69/HistoricalFS!H$71</f>
        <v>0.13545769495275706</v>
      </c>
    </row>
    <row r="46" spans="2:8" x14ac:dyDescent="0.3">
      <c r="B46" s="141" t="str">
        <f>HistoricalFS!B71</f>
        <v>TOTAL ASSETS</v>
      </c>
      <c r="C46" s="142">
        <f>HistoricalFS!C71/HistoricalFS!C71</f>
        <v>1</v>
      </c>
      <c r="D46" s="142">
        <f>HistoricalFS!D71/HistoricalFS!D71</f>
        <v>1</v>
      </c>
      <c r="E46" s="142">
        <f>HistoricalFS!E71/HistoricalFS!E71</f>
        <v>1</v>
      </c>
      <c r="F46" s="142">
        <f>HistoricalFS!F71/HistoricalFS!F71</f>
        <v>1</v>
      </c>
      <c r="G46" s="142">
        <f>HistoricalFS!G71/HistoricalFS!G71</f>
        <v>1</v>
      </c>
      <c r="H46" s="142">
        <f>HistoricalFS!H71/HistoricalFS!H71</f>
        <v>1</v>
      </c>
    </row>
    <row r="48" spans="2:8" x14ac:dyDescent="0.3">
      <c r="B48" s="143" t="str">
        <f>HistoricalFS!B73</f>
        <v>EQUITY</v>
      </c>
      <c r="C48" s="144"/>
      <c r="D48" s="144"/>
      <c r="E48" s="144"/>
      <c r="F48" s="144"/>
      <c r="G48" s="144"/>
      <c r="H48" s="144"/>
    </row>
    <row r="49" spans="2:8" x14ac:dyDescent="0.3">
      <c r="B49" s="144" t="str">
        <f>HistoricalFS!B74</f>
        <v>Equity Share Capital</v>
      </c>
      <c r="C49" s="145">
        <f>HistoricalFS!C74/HistoricalFS!C$92</f>
        <v>1.3487758019244759E-2</v>
      </c>
      <c r="D49" s="145">
        <f>HistoricalFS!D74/HistoricalFS!D$92</f>
        <v>1.2904857002772645E-2</v>
      </c>
      <c r="E49" s="145">
        <f>HistoricalFS!E74/HistoricalFS!E$92</f>
        <v>1.148567429409738E-2</v>
      </c>
      <c r="F49" s="145">
        <f>HistoricalFS!F74/HistoricalFS!F$92</f>
        <v>1.0049011689449468E-2</v>
      </c>
      <c r="G49" s="145">
        <f>HistoricalFS!G74/HistoricalFS!G$92</f>
        <v>9.0558879712776368E-3</v>
      </c>
      <c r="H49" s="145">
        <f>HistoricalFS!H74/HistoricalFS!H$92</f>
        <v>7.6833101091367722E-3</v>
      </c>
    </row>
    <row r="50" spans="2:8" x14ac:dyDescent="0.3">
      <c r="B50" s="144" t="str">
        <f>HistoricalFS!B75</f>
        <v>Other Equity</v>
      </c>
      <c r="C50" s="145">
        <f>HistoricalFS!C75/HistoricalFS!C$92</f>
        <v>0.43958439401251498</v>
      </c>
      <c r="D50" s="145">
        <f>HistoricalFS!D75/HistoricalFS!D$92</f>
        <v>0.50735968304784806</v>
      </c>
      <c r="E50" s="145">
        <f>HistoricalFS!E75/HistoricalFS!E$92</f>
        <v>0.58829924354156171</v>
      </c>
      <c r="F50" s="145">
        <f>HistoricalFS!F75/HistoricalFS!F$92</f>
        <v>0.62370158931662989</v>
      </c>
      <c r="G50" s="145">
        <f>HistoricalFS!G75/HistoricalFS!G$92</f>
        <v>0.64728962160780978</v>
      </c>
      <c r="H50" s="145">
        <f>HistoricalFS!H75/HistoricalFS!H$92</f>
        <v>0.63927049383989687</v>
      </c>
    </row>
    <row r="51" spans="2:8" x14ac:dyDescent="0.3">
      <c r="B51" s="143" t="str">
        <f>HistoricalFS!B77</f>
        <v>NON-CURRENT LIABILITIES</v>
      </c>
      <c r="C51" s="145"/>
      <c r="D51" s="145"/>
      <c r="E51" s="145"/>
      <c r="F51" s="145"/>
      <c r="G51" s="145"/>
      <c r="H51" s="145"/>
    </row>
    <row r="52" spans="2:8" x14ac:dyDescent="0.3">
      <c r="B52" s="144" t="str">
        <f>HistoricalFS!B78</f>
        <v>Borrowings</v>
      </c>
      <c r="C52" s="145">
        <f>HistoricalFS!C78/HistoricalFS!C$92</f>
        <v>5.8813746606251757E-2</v>
      </c>
      <c r="D52" s="145">
        <f>HistoricalFS!D78/HistoricalFS!D$92</f>
        <v>8.3882790766235324E-2</v>
      </c>
      <c r="E52" s="145">
        <f>HistoricalFS!E78/HistoricalFS!E$92</f>
        <v>4.5128373772921712E-2</v>
      </c>
      <c r="F52" s="145">
        <f>HistoricalFS!F78/HistoricalFS!F$92</f>
        <v>2.5609225372053644E-2</v>
      </c>
      <c r="G52" s="145">
        <f>HistoricalFS!G78/HistoricalFS!G$92</f>
        <v>2.7837461898924387E-2</v>
      </c>
      <c r="H52" s="145">
        <f>HistoricalFS!H78/HistoricalFS!H$92</f>
        <v>2.9665266434085662E-2</v>
      </c>
    </row>
    <row r="53" spans="2:8" x14ac:dyDescent="0.3">
      <c r="B53" s="144" t="str">
        <f>HistoricalFS!B79</f>
        <v>Other non-current financial liabilities</v>
      </c>
      <c r="C53" s="145">
        <f>HistoricalFS!C79/HistoricalFS!C$92</f>
        <v>0</v>
      </c>
      <c r="D53" s="145">
        <f>HistoricalFS!D79/HistoricalFS!D$92</f>
        <v>0</v>
      </c>
      <c r="E53" s="145">
        <f>HistoricalFS!E79/HistoricalFS!E$92</f>
        <v>2.714483748502874E-3</v>
      </c>
      <c r="F53" s="145">
        <f>HistoricalFS!F79/HistoricalFS!F$92</f>
        <v>9.7434250410014433E-4</v>
      </c>
      <c r="G53" s="145">
        <f>HistoricalFS!G79/HistoricalFS!G$92</f>
        <v>1.3111668048735126E-3</v>
      </c>
      <c r="H53" s="145">
        <f>HistoricalFS!H79/HistoricalFS!H$92</f>
        <v>1.5294550135930571E-3</v>
      </c>
    </row>
    <row r="54" spans="2:8" x14ac:dyDescent="0.3">
      <c r="B54" s="144" t="str">
        <f>HistoricalFS!B80</f>
        <v>Provisions</v>
      </c>
      <c r="C54" s="145">
        <f>HistoricalFS!C80/HistoricalFS!C$92</f>
        <v>1.4336896535188364E-2</v>
      </c>
      <c r="D54" s="145">
        <f>HistoricalFS!D80/HistoricalFS!D$92</f>
        <v>1.5091785850343388E-2</v>
      </c>
      <c r="E54" s="145">
        <f>HistoricalFS!E80/HistoricalFS!E$92</f>
        <v>1.8330856405829762E-2</v>
      </c>
      <c r="F54" s="145">
        <f>HistoricalFS!F80/HistoricalFS!F$92</f>
        <v>1.7021822459478413E-2</v>
      </c>
      <c r="G54" s="145">
        <f>HistoricalFS!G80/HistoricalFS!G$92</f>
        <v>1.4229311017466127E-2</v>
      </c>
      <c r="H54" s="145">
        <f>HistoricalFS!H80/HistoricalFS!H$92</f>
        <v>1.1521768506827044E-2</v>
      </c>
    </row>
    <row r="55" spans="2:8" x14ac:dyDescent="0.3">
      <c r="B55" s="144" t="str">
        <f>HistoricalFS!B81</f>
        <v>Deferred tax liabilities (net)</v>
      </c>
      <c r="C55" s="145">
        <f>HistoricalFS!C81/HistoricalFS!C$92</f>
        <v>0</v>
      </c>
      <c r="D55" s="145">
        <f>HistoricalFS!D81/HistoricalFS!D$92</f>
        <v>0</v>
      </c>
      <c r="E55" s="145">
        <f>HistoricalFS!E81/HistoricalFS!E$92</f>
        <v>0</v>
      </c>
      <c r="F55" s="145">
        <f>HistoricalFS!F81/HistoricalFS!F$92</f>
        <v>0</v>
      </c>
      <c r="G55" s="145">
        <f>HistoricalFS!G81/HistoricalFS!G$92</f>
        <v>0</v>
      </c>
      <c r="H55" s="145">
        <f>HistoricalFS!H81/HistoricalFS!H$92</f>
        <v>6.6664826167252007E-4</v>
      </c>
    </row>
    <row r="56" spans="2:8" x14ac:dyDescent="0.3">
      <c r="B56" s="143" t="str">
        <f>HistoricalFS!B83</f>
        <v>CURRENT LIABILITIES</v>
      </c>
      <c r="C56" s="145"/>
      <c r="D56" s="145"/>
      <c r="E56" s="145"/>
      <c r="F56" s="145"/>
      <c r="G56" s="145"/>
      <c r="H56" s="145"/>
    </row>
    <row r="57" spans="2:8" x14ac:dyDescent="0.3">
      <c r="B57" s="144" t="str">
        <f>HistoricalFS!B84</f>
        <v>Borrowings</v>
      </c>
      <c r="C57" s="145">
        <f>HistoricalFS!C84/HistoricalFS!C$92</f>
        <v>3.6909339860485196E-2</v>
      </c>
      <c r="D57" s="145">
        <f>HistoricalFS!D84/HistoricalFS!D$92</f>
        <v>2.2030605289483144E-2</v>
      </c>
      <c r="E57" s="145">
        <f>HistoricalFS!E84/HistoricalFS!E$92</f>
        <v>4.6776786765430976E-2</v>
      </c>
      <c r="F57" s="145">
        <f>HistoricalFS!F84/HistoricalFS!F$92</f>
        <v>3.3985682277304682E-2</v>
      </c>
      <c r="G57" s="145">
        <f>HistoricalFS!G84/HistoricalFS!G$92</f>
        <v>1.176864687791249E-2</v>
      </c>
      <c r="H57" s="145">
        <f>HistoricalFS!H84/HistoricalFS!H$92</f>
        <v>1.3036402656712473E-2</v>
      </c>
    </row>
    <row r="58" spans="2:8" ht="28.8" x14ac:dyDescent="0.3">
      <c r="B58" s="146" t="str">
        <f>HistoricalFS!B85</f>
        <v>Trade payables - To micro &amp; small enterprises</v>
      </c>
      <c r="C58" s="145">
        <f>HistoricalFS!C85/HistoricalFS!C$92</f>
        <v>1.9762812579391519E-2</v>
      </c>
      <c r="D58" s="145">
        <f>HistoricalFS!D85/HistoricalFS!D$92</f>
        <v>6.0739807205663313E-2</v>
      </c>
      <c r="E58" s="145">
        <f>HistoricalFS!E85/HistoricalFS!E$92</f>
        <v>3.6043096366453774E-2</v>
      </c>
      <c r="F58" s="145">
        <f>HistoricalFS!F85/HistoricalFS!F$92</f>
        <v>4.5303980798212094E-2</v>
      </c>
      <c r="G58" s="145">
        <f>HistoricalFS!G85/HistoricalFS!G$92</f>
        <v>5.9234221042583121E-2</v>
      </c>
      <c r="H58" s="145">
        <f>HistoricalFS!H85/HistoricalFS!H$92</f>
        <v>5.3840565285178124E-2</v>
      </c>
    </row>
    <row r="59" spans="2:8" ht="28.8" x14ac:dyDescent="0.3">
      <c r="B59" s="146" t="str">
        <f>HistoricalFS!B86</f>
        <v>Trade payables - To other than micro &amp; small enterprises</v>
      </c>
      <c r="C59" s="145">
        <f>HistoricalFS!C86/HistoricalFS!C$92</f>
        <v>0.17550563150500303</v>
      </c>
      <c r="D59" s="145">
        <f>HistoricalFS!D86/HistoricalFS!D$92</f>
        <v>0.11525976521936279</v>
      </c>
      <c r="E59" s="145">
        <f>HistoricalFS!E86/HistoricalFS!E$92</f>
        <v>9.5324059010100728E-2</v>
      </c>
      <c r="F59" s="145">
        <f>HistoricalFS!F86/HistoricalFS!F$92</f>
        <v>8.5300674077016192E-2</v>
      </c>
      <c r="G59" s="145">
        <f>HistoricalFS!G86/HistoricalFS!G$92</f>
        <v>7.6226812676119526E-2</v>
      </c>
      <c r="H59" s="145">
        <f>HistoricalFS!H86/HistoricalFS!H$92</f>
        <v>8.6295205450590592E-2</v>
      </c>
    </row>
    <row r="60" spans="2:8" x14ac:dyDescent="0.3">
      <c r="B60" s="144" t="str">
        <f>HistoricalFS!B87</f>
        <v>Other current financial liabilities</v>
      </c>
      <c r="C60" s="145">
        <f>HistoricalFS!C87/HistoricalFS!C$92</f>
        <v>0.11454263853787991</v>
      </c>
      <c r="D60" s="145">
        <f>HistoricalFS!D87/HistoricalFS!D$92</f>
        <v>0.10199786358942844</v>
      </c>
      <c r="E60" s="145">
        <f>HistoricalFS!E87/HistoricalFS!E$92</f>
        <v>8.5506129472425293E-2</v>
      </c>
      <c r="F60" s="145">
        <f>HistoricalFS!F87/HistoricalFS!F$92</f>
        <v>9.4700314138513625E-2</v>
      </c>
      <c r="G60" s="145">
        <f>HistoricalFS!G87/HistoricalFS!G$92</f>
        <v>8.8078520669544524E-2</v>
      </c>
      <c r="H60" s="145">
        <f>HistoricalFS!H87/HistoricalFS!H$92</f>
        <v>8.0976840220918056E-2</v>
      </c>
    </row>
    <row r="61" spans="2:8" x14ac:dyDescent="0.3">
      <c r="B61" s="144" t="str">
        <f>HistoricalFS!B88</f>
        <v>Other current liabilities</v>
      </c>
      <c r="C61" s="145">
        <f>HistoricalFS!C88/HistoricalFS!C$92</f>
        <v>0.12044911239645308</v>
      </c>
      <c r="D61" s="145">
        <f>HistoricalFS!D88/HistoricalFS!D$92</f>
        <v>7.5557281257695189E-2</v>
      </c>
      <c r="E61" s="145">
        <f>HistoricalFS!E88/HistoricalFS!E$92</f>
        <v>6.2475916749170572E-2</v>
      </c>
      <c r="F61" s="145">
        <f>HistoricalFS!F88/HistoricalFS!F$92</f>
        <v>5.3230609595952876E-2</v>
      </c>
      <c r="G61" s="145">
        <f>HistoricalFS!G88/HistoricalFS!G$92</f>
        <v>5.8897695079733532E-2</v>
      </c>
      <c r="H61" s="145">
        <f>HistoricalFS!H88/HistoricalFS!H$92</f>
        <v>6.6102941069630453E-2</v>
      </c>
    </row>
    <row r="62" spans="2:8" x14ac:dyDescent="0.3">
      <c r="B62" s="144" t="str">
        <f>HistoricalFS!B89</f>
        <v>Provisions</v>
      </c>
      <c r="C62" s="145">
        <f>HistoricalFS!C89/HistoricalFS!C$92</f>
        <v>3.4138990379661083E-3</v>
      </c>
      <c r="D62" s="145">
        <f>HistoricalFS!D89/HistoricalFS!D$92</f>
        <v>3.9301754448475869E-3</v>
      </c>
      <c r="E62" s="145">
        <f>HistoricalFS!E89/HistoricalFS!E$92</f>
        <v>7.9153798735051E-3</v>
      </c>
      <c r="F62" s="145">
        <f>HistoricalFS!F89/HistoricalFS!F$92</f>
        <v>6.2696574122816191E-3</v>
      </c>
      <c r="G62" s="145">
        <f>HistoricalFS!G89/HistoricalFS!G$92</f>
        <v>4.6757413932414626E-3</v>
      </c>
      <c r="H62" s="145">
        <f>HistoricalFS!H89/HistoricalFS!H$92</f>
        <v>3.9299990264726791E-3</v>
      </c>
    </row>
    <row r="63" spans="2:8" x14ac:dyDescent="0.3">
      <c r="B63" s="144" t="str">
        <f>HistoricalFS!B90</f>
        <v>Current Tax Liabilities (net)</v>
      </c>
      <c r="C63" s="145">
        <f>HistoricalFS!C90/HistoricalFS!C$92</f>
        <v>3.1937709096214613E-3</v>
      </c>
      <c r="D63" s="145">
        <f>HistoricalFS!D90/HistoricalFS!D$92</f>
        <v>1.2453853263199974E-3</v>
      </c>
      <c r="E63" s="145">
        <f>HistoricalFS!E90/HistoricalFS!E$92</f>
        <v>0</v>
      </c>
      <c r="F63" s="145">
        <f>HistoricalFS!F90/HistoricalFS!F$92</f>
        <v>3.8530903590072996E-3</v>
      </c>
      <c r="G63" s="145">
        <f>HistoricalFS!G90/HistoricalFS!G$92</f>
        <v>1.3949129605139445E-3</v>
      </c>
      <c r="H63" s="145">
        <f>HistoricalFS!H90/HistoricalFS!H$92</f>
        <v>5.4811041252857025E-3</v>
      </c>
    </row>
    <row r="65" spans="2:8" x14ac:dyDescent="0.3">
      <c r="B65" s="141" t="str">
        <f>HistoricalFS!B92</f>
        <v>TOTAL EQUITY AND LIABILITIES</v>
      </c>
      <c r="C65" s="142">
        <f>HistoricalFS!C92/HistoricalFS!C92</f>
        <v>1</v>
      </c>
      <c r="D65" s="142">
        <f>HistoricalFS!D92/HistoricalFS!D92</f>
        <v>1</v>
      </c>
      <c r="E65" s="142">
        <f>HistoricalFS!E92/HistoricalFS!E92</f>
        <v>1</v>
      </c>
      <c r="F65" s="142">
        <f>HistoricalFS!F92/HistoricalFS!F92</f>
        <v>1</v>
      </c>
      <c r="G65" s="142">
        <f>HistoricalFS!G92/HistoricalFS!G92</f>
        <v>1</v>
      </c>
      <c r="H65" s="142">
        <f>HistoricalFS!H92/HistoricalFS!H92</f>
        <v>1</v>
      </c>
    </row>
  </sheetData>
  <mergeCells count="3">
    <mergeCell ref="B2:H4"/>
    <mergeCell ref="B6:H6"/>
    <mergeCell ref="B25:H25"/>
  </mergeCells>
  <pageMargins left="0.7" right="0.7" top="0.75" bottom="0.75" header="0.3" footer="0.3"/>
  <pageSetup scale="6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BB069-857C-423E-A026-522230DAFCF2}">
  <sheetPr>
    <tabColor rgb="FF92D050"/>
  </sheetPr>
  <dimension ref="B1:M36"/>
  <sheetViews>
    <sheetView showGridLines="0" workbookViewId="0">
      <selection activeCell="B2" sqref="B2:J4"/>
    </sheetView>
  </sheetViews>
  <sheetFormatPr defaultRowHeight="14.4" x14ac:dyDescent="0.3"/>
  <cols>
    <col min="1" max="1" width="1.88671875" customWidth="1"/>
    <col min="5" max="5" width="17.6640625" bestFit="1" customWidth="1"/>
  </cols>
  <sheetData>
    <row r="1" spans="2:13" ht="4.2" customHeight="1" thickBot="1" x14ac:dyDescent="0.35"/>
    <row r="2" spans="2:13" ht="15" thickTop="1" x14ac:dyDescent="0.3">
      <c r="B2" s="224" t="s">
        <v>221</v>
      </c>
      <c r="C2" s="224"/>
      <c r="D2" s="224"/>
      <c r="E2" s="224"/>
      <c r="F2" s="224"/>
      <c r="G2" s="224"/>
      <c r="H2" s="224"/>
      <c r="I2" s="224"/>
      <c r="J2" s="82"/>
      <c r="K2" s="75"/>
      <c r="L2" s="82"/>
      <c r="M2" s="75"/>
    </row>
    <row r="3" spans="2:13" x14ac:dyDescent="0.3">
      <c r="B3" s="225"/>
      <c r="C3" s="225"/>
      <c r="D3" s="225"/>
      <c r="E3" s="225"/>
      <c r="F3" s="225"/>
      <c r="G3" s="225"/>
      <c r="H3" s="225"/>
      <c r="I3" s="225"/>
      <c r="J3" s="83"/>
      <c r="L3" s="83"/>
    </row>
    <row r="4" spans="2:13" ht="15" thickBot="1" x14ac:dyDescent="0.35">
      <c r="B4" s="226"/>
      <c r="C4" s="226"/>
      <c r="D4" s="226"/>
      <c r="E4" s="226"/>
      <c r="F4" s="226"/>
      <c r="G4" s="226"/>
      <c r="H4" s="226"/>
      <c r="I4" s="226"/>
      <c r="J4" s="81"/>
      <c r="K4" s="84"/>
      <c r="L4" s="81"/>
      <c r="M4" s="84"/>
    </row>
    <row r="5" spans="2:13" ht="3.6" customHeight="1" thickTop="1" x14ac:dyDescent="0.3"/>
    <row r="7" spans="2:13" x14ac:dyDescent="0.3">
      <c r="B7" s="87" t="s">
        <v>322</v>
      </c>
      <c r="C7" s="88"/>
      <c r="D7" s="88"/>
      <c r="E7" s="88"/>
      <c r="F7" s="88"/>
    </row>
    <row r="9" spans="2:13" x14ac:dyDescent="0.3">
      <c r="B9" s="40" t="s">
        <v>225</v>
      </c>
      <c r="C9" s="128" t="s">
        <v>321</v>
      </c>
      <c r="G9" s="24" t="s">
        <v>198</v>
      </c>
    </row>
    <row r="10" spans="2:13" x14ac:dyDescent="0.3">
      <c r="B10" s="38">
        <v>2000</v>
      </c>
      <c r="C10" s="47">
        <v>-0.14649999999999999</v>
      </c>
      <c r="E10" t="s">
        <v>323</v>
      </c>
      <c r="F10" s="65">
        <f>AVERAGE(C10:C35)</f>
        <v>0.1514923076923077</v>
      </c>
      <c r="G10" s="65">
        <f>MEDIAN(C10:C35)</f>
        <v>0.11349999999999999</v>
      </c>
    </row>
    <row r="11" spans="2:13" x14ac:dyDescent="0.3">
      <c r="B11" s="38">
        <v>2001</v>
      </c>
      <c r="C11" s="47">
        <v>-0.1618</v>
      </c>
      <c r="E11" t="s">
        <v>324</v>
      </c>
      <c r="F11" s="129">
        <v>1.2999999999999999E-2</v>
      </c>
      <c r="G11" s="65">
        <f>F11</f>
        <v>1.2999999999999999E-2</v>
      </c>
    </row>
    <row r="12" spans="2:13" x14ac:dyDescent="0.3">
      <c r="B12" s="38">
        <v>2002</v>
      </c>
      <c r="C12" s="47">
        <v>3.2500000000000001E-2</v>
      </c>
    </row>
    <row r="13" spans="2:13" x14ac:dyDescent="0.3">
      <c r="B13" s="38">
        <v>2003</v>
      </c>
      <c r="C13" s="47">
        <v>0.71900000000000008</v>
      </c>
      <c r="E13" s="104" t="s">
        <v>325</v>
      </c>
      <c r="F13" s="130">
        <f>SUM(F10:F11)</f>
        <v>0.16449230769230772</v>
      </c>
      <c r="G13" s="65">
        <f>SUM(G10:G11)</f>
        <v>0.1265</v>
      </c>
    </row>
    <row r="14" spans="2:13" x14ac:dyDescent="0.3">
      <c r="B14" s="38">
        <v>2004</v>
      </c>
      <c r="C14" s="47">
        <v>0.10679999999999999</v>
      </c>
    </row>
    <row r="15" spans="2:13" x14ac:dyDescent="0.3">
      <c r="B15" s="38">
        <v>2005</v>
      </c>
      <c r="C15" s="47">
        <v>0.36340000000000006</v>
      </c>
    </row>
    <row r="16" spans="2:13" x14ac:dyDescent="0.3">
      <c r="B16" s="38">
        <v>2006</v>
      </c>
      <c r="C16" s="47">
        <v>0.39829999999999999</v>
      </c>
    </row>
    <row r="17" spans="2:3" x14ac:dyDescent="0.3">
      <c r="B17" s="38">
        <v>2007</v>
      </c>
      <c r="C17" s="47">
        <v>0.54770000000000008</v>
      </c>
    </row>
    <row r="18" spans="2:3" x14ac:dyDescent="0.3">
      <c r="B18" s="38">
        <v>2008</v>
      </c>
      <c r="C18" s="47">
        <v>-0.51790000000000003</v>
      </c>
    </row>
    <row r="19" spans="2:3" x14ac:dyDescent="0.3">
      <c r="B19" s="38">
        <v>2009</v>
      </c>
      <c r="C19" s="47">
        <v>0.75760000000000005</v>
      </c>
    </row>
    <row r="20" spans="2:3" x14ac:dyDescent="0.3">
      <c r="B20" s="38">
        <v>2010</v>
      </c>
      <c r="C20" s="47">
        <v>0.17949999999999999</v>
      </c>
    </row>
    <row r="21" spans="2:3" x14ac:dyDescent="0.3">
      <c r="B21" s="38">
        <v>2011</v>
      </c>
      <c r="C21" s="47">
        <v>-0.2462</v>
      </c>
    </row>
    <row r="22" spans="2:3" x14ac:dyDescent="0.3">
      <c r="B22" s="38">
        <v>2012</v>
      </c>
      <c r="C22" s="47">
        <v>0.27699999999999997</v>
      </c>
    </row>
    <row r="23" spans="2:3" x14ac:dyDescent="0.3">
      <c r="B23" s="38">
        <v>2013</v>
      </c>
      <c r="C23" s="47">
        <v>6.7599999999999993E-2</v>
      </c>
    </row>
    <row r="24" spans="2:3" x14ac:dyDescent="0.3">
      <c r="B24" s="38">
        <v>2014</v>
      </c>
      <c r="C24" s="47">
        <v>0.31390000000000001</v>
      </c>
    </row>
    <row r="25" spans="2:3" x14ac:dyDescent="0.3">
      <c r="B25" s="38">
        <v>2015</v>
      </c>
      <c r="C25" s="47">
        <v>-4.0599999999999997E-2</v>
      </c>
    </row>
    <row r="26" spans="2:3" x14ac:dyDescent="0.3">
      <c r="B26" s="38">
        <v>2016</v>
      </c>
      <c r="C26" s="47">
        <v>3.0099999999999998E-2</v>
      </c>
    </row>
    <row r="27" spans="2:3" x14ac:dyDescent="0.3">
      <c r="B27" s="38">
        <v>2017</v>
      </c>
      <c r="C27" s="47">
        <v>0.28649999999999998</v>
      </c>
    </row>
    <row r="28" spans="2:3" x14ac:dyDescent="0.3">
      <c r="B28" s="38">
        <v>2018</v>
      </c>
      <c r="C28" s="47">
        <v>3.15E-2</v>
      </c>
    </row>
    <row r="29" spans="2:3" x14ac:dyDescent="0.3">
      <c r="B29" s="38">
        <v>2019</v>
      </c>
      <c r="C29" s="47">
        <v>0.1202</v>
      </c>
    </row>
    <row r="30" spans="2:3" x14ac:dyDescent="0.3">
      <c r="B30" s="38">
        <v>2020</v>
      </c>
      <c r="C30" s="47">
        <v>0.14899999999999999</v>
      </c>
    </row>
    <row r="31" spans="2:3" x14ac:dyDescent="0.3">
      <c r="B31" s="38">
        <v>2021</v>
      </c>
      <c r="C31" s="47">
        <v>0.2412</v>
      </c>
    </row>
    <row r="32" spans="2:3" x14ac:dyDescent="0.3">
      <c r="B32" s="38">
        <v>2022</v>
      </c>
      <c r="C32" s="47">
        <v>4.3200000000000002E-2</v>
      </c>
    </row>
    <row r="33" spans="2:3" x14ac:dyDescent="0.3">
      <c r="B33" s="38">
        <v>2023</v>
      </c>
      <c r="C33" s="47">
        <v>0.19420000000000001</v>
      </c>
    </row>
    <row r="34" spans="2:3" x14ac:dyDescent="0.3">
      <c r="B34" s="38">
        <v>2024</v>
      </c>
      <c r="C34" s="47">
        <v>8.7499999999999994E-2</v>
      </c>
    </row>
    <row r="35" spans="2:3" x14ac:dyDescent="0.3">
      <c r="B35" s="38">
        <v>2025</v>
      </c>
      <c r="C35" s="47">
        <v>0.1051</v>
      </c>
    </row>
    <row r="36" spans="2:3" x14ac:dyDescent="0.3">
      <c r="B36" s="38">
        <v>2026</v>
      </c>
    </row>
  </sheetData>
  <mergeCells count="1">
    <mergeCell ref="B2:I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DD88A-35C8-41FD-B788-2DC8A6B70F17}">
  <sheetPr>
    <tabColor rgb="FF92D050"/>
    <pageSetUpPr fitToPage="1"/>
  </sheetPr>
  <dimension ref="B1:P115"/>
  <sheetViews>
    <sheetView showGridLines="0" zoomScale="81" workbookViewId="0">
      <selection activeCell="J96" sqref="J96"/>
    </sheetView>
  </sheetViews>
  <sheetFormatPr defaultRowHeight="14.4" x14ac:dyDescent="0.3"/>
  <cols>
    <col min="1" max="1" width="1.88671875" customWidth="1"/>
    <col min="2" max="4" width="12.77734375" customWidth="1"/>
    <col min="5" max="5" width="3.77734375" customWidth="1"/>
    <col min="6" max="7" width="12.77734375" customWidth="1"/>
    <col min="8" max="8" width="3.77734375" customWidth="1"/>
    <col min="9" max="9" width="17.109375" customWidth="1"/>
    <col min="10" max="10" width="12.77734375" customWidth="1"/>
    <col min="11" max="11" width="11.88671875" customWidth="1"/>
    <col min="12" max="13" width="11.5546875" bestFit="1" customWidth="1"/>
    <col min="14" max="14" width="12.21875" bestFit="1" customWidth="1"/>
    <col min="15" max="15" width="11.5546875" bestFit="1" customWidth="1"/>
    <col min="16" max="16" width="12.21875" bestFit="1" customWidth="1"/>
    <col min="17" max="17" width="11.5546875" bestFit="1" customWidth="1"/>
  </cols>
  <sheetData>
    <row r="1" spans="2:16" ht="5.4" customHeight="1" thickBot="1" x14ac:dyDescent="0.35"/>
    <row r="2" spans="2:16" ht="15" thickTop="1" x14ac:dyDescent="0.3">
      <c r="B2" s="224" t="s">
        <v>221</v>
      </c>
      <c r="C2" s="224"/>
      <c r="D2" s="224"/>
      <c r="E2" s="224"/>
      <c r="F2" s="224"/>
      <c r="G2" s="224"/>
      <c r="H2" s="224"/>
      <c r="I2" s="82"/>
      <c r="J2" s="82"/>
      <c r="K2" s="82"/>
      <c r="L2" s="75"/>
      <c r="M2" s="82"/>
      <c r="N2" s="75"/>
      <c r="O2" s="82"/>
      <c r="P2" s="75"/>
    </row>
    <row r="3" spans="2:16" x14ac:dyDescent="0.3">
      <c r="B3" s="225"/>
      <c r="C3" s="225"/>
      <c r="D3" s="225"/>
      <c r="E3" s="225"/>
      <c r="F3" s="225"/>
      <c r="G3" s="225"/>
      <c r="H3" s="225"/>
      <c r="I3" s="83"/>
      <c r="J3" s="83"/>
      <c r="K3" s="83"/>
      <c r="M3" s="83"/>
      <c r="O3" s="83"/>
    </row>
    <row r="4" spans="2:16" ht="15" thickBot="1" x14ac:dyDescent="0.35">
      <c r="B4" s="226"/>
      <c r="C4" s="226"/>
      <c r="D4" s="226"/>
      <c r="E4" s="226"/>
      <c r="F4" s="226"/>
      <c r="G4" s="226"/>
      <c r="H4" s="226"/>
      <c r="I4" s="81"/>
      <c r="J4" s="81"/>
      <c r="K4" s="81"/>
      <c r="L4" s="84"/>
      <c r="M4" s="81"/>
      <c r="N4" s="84"/>
      <c r="O4" s="81"/>
      <c r="P4" s="86" t="s">
        <v>220</v>
      </c>
    </row>
    <row r="5" spans="2:16" ht="4.8" customHeight="1" thickTop="1" x14ac:dyDescent="0.3"/>
    <row r="6" spans="2:16" x14ac:dyDescent="0.3">
      <c r="B6" s="96" t="s">
        <v>313</v>
      </c>
    </row>
    <row r="7" spans="2:16" x14ac:dyDescent="0.3">
      <c r="B7" s="96"/>
    </row>
    <row r="8" spans="2:16" x14ac:dyDescent="0.3">
      <c r="B8" s="233" t="s">
        <v>278</v>
      </c>
      <c r="C8" s="233"/>
      <c r="D8" s="233"/>
      <c r="F8" s="233" t="s">
        <v>279</v>
      </c>
      <c r="G8" s="233"/>
      <c r="I8" s="233" t="s">
        <v>307</v>
      </c>
      <c r="J8" s="233"/>
      <c r="K8" s="134"/>
    </row>
    <row r="9" spans="2:16" x14ac:dyDescent="0.3">
      <c r="B9" s="96"/>
      <c r="C9" s="96"/>
      <c r="D9" s="96"/>
    </row>
    <row r="10" spans="2:16" x14ac:dyDescent="0.3">
      <c r="B10" s="98" t="s">
        <v>274</v>
      </c>
      <c r="C10" s="99" t="s">
        <v>276</v>
      </c>
      <c r="D10" s="99" t="s">
        <v>277</v>
      </c>
      <c r="F10" s="99" t="s">
        <v>275</v>
      </c>
      <c r="G10" s="99" t="s">
        <v>277</v>
      </c>
      <c r="I10" s="103" t="s">
        <v>308</v>
      </c>
      <c r="J10" s="100">
        <f>M13</f>
        <v>0.18276102568906685</v>
      </c>
      <c r="L10" t="s">
        <v>280</v>
      </c>
      <c r="M10" s="100">
        <f>SLOPE(D12:D115,G12:G115)</f>
        <v>0.18588112807207346</v>
      </c>
    </row>
    <row r="11" spans="2:16" x14ac:dyDescent="0.3">
      <c r="B11" s="94">
        <v>45516</v>
      </c>
      <c r="C11" s="95">
        <v>8329.1396484375</v>
      </c>
      <c r="F11" s="95">
        <v>24541.150390625</v>
      </c>
      <c r="I11" t="s">
        <v>309</v>
      </c>
      <c r="J11" s="97">
        <v>0.75</v>
      </c>
      <c r="L11" t="s">
        <v>281</v>
      </c>
      <c r="M11" s="100">
        <f>_xlfn.COVARIANCE.S(D11:D115,G11:G115)/_xlfn.VAR.S(G11:G115)</f>
        <v>0.18588112807207338</v>
      </c>
    </row>
    <row r="12" spans="2:16" x14ac:dyDescent="0.3">
      <c r="B12" s="94">
        <v>45523</v>
      </c>
      <c r="C12" s="95">
        <v>8430.875</v>
      </c>
      <c r="D12" s="97">
        <f>C12/C11-1</f>
        <v>1.2214388983331048E-2</v>
      </c>
      <c r="F12" s="95">
        <v>24823.150390625</v>
      </c>
      <c r="G12" s="97">
        <f>F12/F11-1</f>
        <v>1.1490903870086111E-2</v>
      </c>
      <c r="M12" s="100"/>
    </row>
    <row r="13" spans="2:16" x14ac:dyDescent="0.3">
      <c r="B13" s="94">
        <v>45530</v>
      </c>
      <c r="C13" s="95">
        <v>8154.302734375</v>
      </c>
      <c r="D13" s="97">
        <f t="shared" ref="D13:D76" si="0">C13/C12-1</f>
        <v>-3.2804692944089386E-2</v>
      </c>
      <c r="F13" s="95">
        <v>25235.900390625</v>
      </c>
      <c r="G13" s="97">
        <f t="shared" ref="G13:G76" si="1">F13/F12-1</f>
        <v>1.6627623549180237E-2</v>
      </c>
      <c r="I13" t="s">
        <v>311</v>
      </c>
      <c r="J13" s="100">
        <v>1</v>
      </c>
      <c r="L13" t="s">
        <v>282</v>
      </c>
      <c r="M13" s="100">
        <f>J40</f>
        <v>0.18276102568906685</v>
      </c>
    </row>
    <row r="14" spans="2:16" x14ac:dyDescent="0.3">
      <c r="B14" s="94">
        <v>45537</v>
      </c>
      <c r="C14" s="95">
        <v>8318.314453125</v>
      </c>
      <c r="D14" s="97">
        <f t="shared" si="0"/>
        <v>2.011351848130416E-2</v>
      </c>
      <c r="F14" s="95">
        <v>24852.150390625</v>
      </c>
      <c r="G14" s="97">
        <f t="shared" si="1"/>
        <v>-1.5206511123437516E-2</v>
      </c>
      <c r="I14" t="s">
        <v>310</v>
      </c>
      <c r="J14" s="65">
        <f>1-J11</f>
        <v>0.25</v>
      </c>
      <c r="K14" s="65"/>
    </row>
    <row r="15" spans="2:16" x14ac:dyDescent="0.3">
      <c r="B15" s="94">
        <v>45544</v>
      </c>
      <c r="C15" s="95">
        <v>8630.8056640625</v>
      </c>
      <c r="D15" s="97">
        <f t="shared" si="0"/>
        <v>3.75666503951535E-2</v>
      </c>
      <c r="F15" s="95">
        <v>25356.5</v>
      </c>
      <c r="G15" s="97">
        <f t="shared" si="1"/>
        <v>2.0294002790408605E-2</v>
      </c>
    </row>
    <row r="16" spans="2:16" x14ac:dyDescent="0.3">
      <c r="B16" s="94">
        <v>45551</v>
      </c>
      <c r="C16" s="95">
        <v>8634.056640625</v>
      </c>
      <c r="D16" s="97">
        <f t="shared" si="0"/>
        <v>3.7667127369545028E-4</v>
      </c>
      <c r="F16" s="95">
        <v>25790.94921875</v>
      </c>
      <c r="G16" s="97">
        <f t="shared" si="1"/>
        <v>1.7133643000808441E-2</v>
      </c>
      <c r="I16" s="104" t="s">
        <v>312</v>
      </c>
      <c r="J16" s="105">
        <f>(J10*J11)+(J13*J14)</f>
        <v>0.38707076926680017</v>
      </c>
      <c r="K16" s="135"/>
    </row>
    <row r="17" spans="2:11" x14ac:dyDescent="0.3">
      <c r="B17" s="94">
        <v>45558</v>
      </c>
      <c r="C17" s="95">
        <v>8443.6416015625</v>
      </c>
      <c r="D17" s="97">
        <f t="shared" si="0"/>
        <v>-2.2053948333690343E-2</v>
      </c>
      <c r="F17" s="95">
        <v>26178.94921875</v>
      </c>
      <c r="G17" s="97">
        <f t="shared" si="1"/>
        <v>1.5044037220542705E-2</v>
      </c>
    </row>
    <row r="18" spans="2:11" x14ac:dyDescent="0.3">
      <c r="B18" s="94">
        <v>45565</v>
      </c>
      <c r="C18" s="95">
        <v>8397.3349609375</v>
      </c>
      <c r="D18" s="97">
        <f t="shared" si="0"/>
        <v>-5.4842025289694174E-3</v>
      </c>
      <c r="F18" s="95">
        <v>25014.599609375</v>
      </c>
      <c r="G18" s="97">
        <f t="shared" si="1"/>
        <v>-4.4476560141728849E-2</v>
      </c>
      <c r="I18" t="s">
        <v>283</v>
      </c>
    </row>
    <row r="19" spans="2:11" ht="15" thickBot="1" x14ac:dyDescent="0.35">
      <c r="B19" s="94">
        <v>45572</v>
      </c>
      <c r="C19" s="95">
        <v>8540.0869140625</v>
      </c>
      <c r="D19" s="97">
        <f t="shared" si="0"/>
        <v>1.6999673561796769E-2</v>
      </c>
      <c r="F19" s="95">
        <v>24964.25</v>
      </c>
      <c r="G19" s="97">
        <f t="shared" si="1"/>
        <v>-2.0128089260372795E-3</v>
      </c>
    </row>
    <row r="20" spans="2:11" x14ac:dyDescent="0.3">
      <c r="B20" s="94">
        <v>45579</v>
      </c>
      <c r="C20" s="95">
        <v>8339.3310546875</v>
      </c>
      <c r="D20" s="97">
        <f t="shared" si="0"/>
        <v>-2.35074726282265E-2</v>
      </c>
      <c r="F20" s="95">
        <v>24854.05078125</v>
      </c>
      <c r="G20" s="97">
        <f t="shared" si="1"/>
        <v>-4.4142811720760955E-3</v>
      </c>
      <c r="I20" s="102" t="s">
        <v>284</v>
      </c>
      <c r="J20" s="102"/>
    </row>
    <row r="21" spans="2:11" x14ac:dyDescent="0.3">
      <c r="B21" s="94">
        <v>45586</v>
      </c>
      <c r="C21" s="95">
        <v>8203.3759765625</v>
      </c>
      <c r="D21" s="97">
        <f t="shared" si="0"/>
        <v>-1.6302875762268743E-2</v>
      </c>
      <c r="F21" s="95">
        <v>24180.80078125</v>
      </c>
      <c r="G21" s="97">
        <f t="shared" si="1"/>
        <v>-2.7088139713140946E-2</v>
      </c>
      <c r="I21" t="s">
        <v>285</v>
      </c>
      <c r="J21">
        <v>0.11617300765011206</v>
      </c>
    </row>
    <row r="22" spans="2:11" x14ac:dyDescent="0.3">
      <c r="B22" s="94">
        <v>45593</v>
      </c>
      <c r="C22" s="95">
        <v>8534.9892578125</v>
      </c>
      <c r="D22" s="97">
        <f t="shared" si="0"/>
        <v>4.0424001313293045E-2</v>
      </c>
      <c r="F22" s="95">
        <v>24304.349609375</v>
      </c>
      <c r="G22" s="97">
        <f t="shared" si="1"/>
        <v>5.1093770319137199E-3</v>
      </c>
      <c r="I22" t="s">
        <v>286</v>
      </c>
      <c r="J22">
        <v>1.3496167706472995E-2</v>
      </c>
    </row>
    <row r="23" spans="2:11" x14ac:dyDescent="0.3">
      <c r="B23" s="94">
        <v>45600</v>
      </c>
      <c r="C23" s="95">
        <v>8493.3427734375</v>
      </c>
      <c r="D23" s="97">
        <f t="shared" si="0"/>
        <v>-4.87950050281305E-3</v>
      </c>
      <c r="F23" s="95">
        <v>24148.19921875</v>
      </c>
      <c r="G23" s="97">
        <f t="shared" si="1"/>
        <v>-6.424791987223899E-3</v>
      </c>
      <c r="I23" t="s">
        <v>287</v>
      </c>
      <c r="J23">
        <v>3.7288030302994597E-3</v>
      </c>
    </row>
    <row r="24" spans="2:11" x14ac:dyDescent="0.3">
      <c r="B24" s="94">
        <v>45607</v>
      </c>
      <c r="C24" s="95">
        <v>8202.9873046875</v>
      </c>
      <c r="D24" s="97">
        <f t="shared" si="0"/>
        <v>-3.418624168308293E-2</v>
      </c>
      <c r="F24" s="95">
        <v>23532.69921875</v>
      </c>
      <c r="G24" s="97">
        <f t="shared" si="1"/>
        <v>-2.5488443027341434E-2</v>
      </c>
      <c r="I24" t="s">
        <v>288</v>
      </c>
      <c r="J24">
        <v>2.9321499972616728E-2</v>
      </c>
    </row>
    <row r="25" spans="2:11" ht="15" thickBot="1" x14ac:dyDescent="0.35">
      <c r="B25" s="94">
        <v>45614</v>
      </c>
      <c r="C25" s="95">
        <v>8267.30078125</v>
      </c>
      <c r="D25" s="97">
        <f t="shared" si="0"/>
        <v>7.8402506518264747E-3</v>
      </c>
      <c r="F25" s="95">
        <v>23907.25</v>
      </c>
      <c r="G25" s="97">
        <f t="shared" si="1"/>
        <v>1.5916184444815906E-2</v>
      </c>
      <c r="I25" s="92" t="s">
        <v>289</v>
      </c>
      <c r="J25" s="92">
        <v>103</v>
      </c>
    </row>
    <row r="26" spans="2:11" x14ac:dyDescent="0.3">
      <c r="B26" s="94">
        <v>45621</v>
      </c>
      <c r="C26" s="95">
        <v>8263.5146484375</v>
      </c>
      <c r="D26" s="97">
        <f t="shared" si="0"/>
        <v>-4.5796480770199377E-4</v>
      </c>
      <c r="F26" s="95">
        <v>24131.099609375</v>
      </c>
      <c r="G26" s="97">
        <f t="shared" si="1"/>
        <v>9.3632521254012335E-3</v>
      </c>
    </row>
    <row r="27" spans="2:11" ht="15" thickBot="1" x14ac:dyDescent="0.35">
      <c r="B27" s="94">
        <v>45628</v>
      </c>
      <c r="C27" s="95">
        <v>8184.93115234375</v>
      </c>
      <c r="D27" s="97">
        <f t="shared" si="0"/>
        <v>-9.509694051139439E-3</v>
      </c>
      <c r="F27" s="95">
        <v>24677.80078125</v>
      </c>
      <c r="G27" s="97">
        <f t="shared" si="1"/>
        <v>2.2655460411037609E-2</v>
      </c>
      <c r="I27" t="s">
        <v>290</v>
      </c>
    </row>
    <row r="28" spans="2:11" x14ac:dyDescent="0.3">
      <c r="B28" s="94">
        <v>45635</v>
      </c>
      <c r="C28" s="95">
        <v>8497.615234375</v>
      </c>
      <c r="D28" s="97">
        <f t="shared" si="0"/>
        <v>3.8202408329569559E-2</v>
      </c>
      <c r="F28" s="95">
        <v>24768.30078125</v>
      </c>
      <c r="G28" s="97">
        <f t="shared" si="1"/>
        <v>3.667263578396307E-3</v>
      </c>
      <c r="I28" s="101"/>
      <c r="J28" s="101" t="s">
        <v>295</v>
      </c>
      <c r="K28" s="101" t="s">
        <v>296</v>
      </c>
    </row>
    <row r="29" spans="2:11" x14ac:dyDescent="0.3">
      <c r="B29" s="94">
        <v>45642</v>
      </c>
      <c r="C29" s="95">
        <v>8690.361328125</v>
      </c>
      <c r="D29" s="97">
        <f t="shared" si="0"/>
        <v>2.2682374811499262E-2</v>
      </c>
      <c r="F29" s="95">
        <v>23587.5</v>
      </c>
      <c r="G29" s="97">
        <f t="shared" si="1"/>
        <v>-4.7673871198458895E-2</v>
      </c>
      <c r="I29" t="s">
        <v>291</v>
      </c>
      <c r="J29">
        <v>1</v>
      </c>
      <c r="K29">
        <v>1.1879698810938616E-3</v>
      </c>
    </row>
    <row r="30" spans="2:11" x14ac:dyDescent="0.3">
      <c r="B30" s="94">
        <v>45649</v>
      </c>
      <c r="C30" s="95">
        <v>8797.048828125</v>
      </c>
      <c r="D30" s="97">
        <f t="shared" si="0"/>
        <v>1.2276532122401207E-2</v>
      </c>
      <c r="F30" s="95">
        <v>23813.400390625</v>
      </c>
      <c r="G30" s="97">
        <f t="shared" si="1"/>
        <v>9.5771230789614137E-3</v>
      </c>
      <c r="I30" t="s">
        <v>292</v>
      </c>
      <c r="J30">
        <v>101</v>
      </c>
      <c r="K30">
        <v>8.6834786425060428E-2</v>
      </c>
    </row>
    <row r="31" spans="2:11" ht="15" thickBot="1" x14ac:dyDescent="0.35">
      <c r="B31" s="94">
        <v>45656</v>
      </c>
      <c r="C31" s="95">
        <v>8774.9638671875</v>
      </c>
      <c r="D31" s="97">
        <f t="shared" si="0"/>
        <v>-2.5104965732248852E-3</v>
      </c>
      <c r="F31" s="95">
        <v>24004.75</v>
      </c>
      <c r="G31" s="97">
        <f t="shared" si="1"/>
        <v>8.0353753028203911E-3</v>
      </c>
      <c r="I31" s="92" t="s">
        <v>293</v>
      </c>
      <c r="J31" s="92">
        <v>102</v>
      </c>
      <c r="K31" s="92">
        <v>8.802275630615429E-2</v>
      </c>
    </row>
    <row r="32" spans="2:11" ht="15" thickBot="1" x14ac:dyDescent="0.35">
      <c r="B32" s="94">
        <v>45663</v>
      </c>
      <c r="C32" s="95">
        <v>8667.7900390625</v>
      </c>
      <c r="D32" s="97">
        <f t="shared" si="0"/>
        <v>-1.2213591958567305E-2</v>
      </c>
      <c r="F32" s="95">
        <v>23431.5</v>
      </c>
      <c r="G32" s="97">
        <f t="shared" si="1"/>
        <v>-2.3880690280048689E-2</v>
      </c>
    </row>
    <row r="33" spans="2:11" x14ac:dyDescent="0.3">
      <c r="B33" s="94">
        <v>45670</v>
      </c>
      <c r="C33" s="95">
        <v>8489.12109375</v>
      </c>
      <c r="D33" s="97">
        <f t="shared" si="0"/>
        <v>-2.0612975684379253E-2</v>
      </c>
      <c r="F33" s="95">
        <v>23203.19921875</v>
      </c>
      <c r="G33" s="97">
        <f t="shared" si="1"/>
        <v>-9.7433276252053558E-3</v>
      </c>
      <c r="I33" s="101" t="s">
        <v>297</v>
      </c>
      <c r="J33" s="101" t="s">
        <v>298</v>
      </c>
      <c r="K33" s="101" t="s">
        <v>299</v>
      </c>
    </row>
    <row r="34" spans="2:11" x14ac:dyDescent="0.3">
      <c r="B34" s="94">
        <v>45677</v>
      </c>
      <c r="C34" s="95">
        <v>8351.078125</v>
      </c>
      <c r="D34" s="97">
        <f t="shared" si="0"/>
        <v>-1.6261161458944517E-2</v>
      </c>
      <c r="F34" s="95">
        <v>23092.19921875</v>
      </c>
      <c r="G34" s="97">
        <f t="shared" si="1"/>
        <v>-4.7838230820473893E-3</v>
      </c>
      <c r="I34">
        <v>1.1879698810938616E-3</v>
      </c>
      <c r="J34">
        <v>1.3817614222386396</v>
      </c>
      <c r="K34">
        <v>0.24256490659748023</v>
      </c>
    </row>
    <row r="35" spans="2:11" x14ac:dyDescent="0.3">
      <c r="B35" s="94">
        <v>45684</v>
      </c>
      <c r="C35" s="95">
        <v>8119.35595703125</v>
      </c>
      <c r="D35" s="97">
        <f t="shared" si="0"/>
        <v>-2.774757516338644E-2</v>
      </c>
      <c r="F35" s="95">
        <v>23482.150390625</v>
      </c>
      <c r="G35" s="97">
        <f t="shared" si="1"/>
        <v>1.688670568710382E-2</v>
      </c>
      <c r="I35">
        <v>8.597503606441627E-4</v>
      </c>
    </row>
    <row r="36" spans="2:11" ht="15" thickBot="1" x14ac:dyDescent="0.35">
      <c r="B36" s="94">
        <v>45691</v>
      </c>
      <c r="C36" s="95">
        <v>8347.9228515625</v>
      </c>
      <c r="D36" s="97">
        <f t="shared" si="0"/>
        <v>2.8150865135222247E-2</v>
      </c>
      <c r="F36" s="95">
        <v>23559.94921875</v>
      </c>
      <c r="G36" s="97">
        <f t="shared" si="1"/>
        <v>3.313104925691146E-3</v>
      </c>
      <c r="I36" s="92"/>
      <c r="J36" s="92"/>
      <c r="K36" s="92"/>
    </row>
    <row r="37" spans="2:11" ht="15" thickBot="1" x14ac:dyDescent="0.35">
      <c r="B37" s="94">
        <v>45698</v>
      </c>
      <c r="C37" s="95">
        <v>7434.47900390625</v>
      </c>
      <c r="D37" s="97">
        <f t="shared" si="0"/>
        <v>-0.10942169254538314</v>
      </c>
      <c r="F37" s="95">
        <v>22929.25</v>
      </c>
      <c r="G37" s="97">
        <f t="shared" si="1"/>
        <v>-2.6769973606227571E-2</v>
      </c>
    </row>
    <row r="38" spans="2:11" x14ac:dyDescent="0.3">
      <c r="B38" s="94">
        <v>45705</v>
      </c>
      <c r="C38" s="95">
        <v>7326.966796875</v>
      </c>
      <c r="D38" s="97">
        <f t="shared" si="0"/>
        <v>-1.4461296746518526E-2</v>
      </c>
      <c r="F38" s="95">
        <v>22795.900390625</v>
      </c>
      <c r="G38" s="97">
        <f t="shared" si="1"/>
        <v>-5.8156986981693359E-3</v>
      </c>
      <c r="I38" s="101"/>
      <c r="J38" s="101" t="s">
        <v>300</v>
      </c>
      <c r="K38" s="101" t="s">
        <v>288</v>
      </c>
    </row>
    <row r="39" spans="2:11" x14ac:dyDescent="0.3">
      <c r="B39" s="94">
        <v>45712</v>
      </c>
      <c r="C39" s="95">
        <v>7278.57373046875</v>
      </c>
      <c r="D39" s="97">
        <f t="shared" si="0"/>
        <v>-6.6047885500026826E-3</v>
      </c>
      <c r="F39" s="95">
        <v>22124.69921875</v>
      </c>
      <c r="G39" s="97">
        <f t="shared" si="1"/>
        <v>-2.9443942128780209E-2</v>
      </c>
      <c r="I39" t="s">
        <v>294</v>
      </c>
      <c r="J39" s="137">
        <v>3.3399700508879798E-4</v>
      </c>
      <c r="K39" s="137">
        <v>2.8891334914893101E-3</v>
      </c>
    </row>
    <row r="40" spans="2:11" ht="15" thickBot="1" x14ac:dyDescent="0.35">
      <c r="B40" s="94">
        <v>45719</v>
      </c>
      <c r="C40" s="95">
        <v>7136.45361328125</v>
      </c>
      <c r="D40" s="97">
        <f t="shared" si="0"/>
        <v>-1.9525819542443146E-2</v>
      </c>
      <c r="F40" s="95">
        <v>22552.5</v>
      </c>
      <c r="G40" s="97">
        <f t="shared" si="1"/>
        <v>1.9335891395416249E-2</v>
      </c>
      <c r="I40" s="92">
        <v>1.1490903870086111E-2</v>
      </c>
      <c r="J40" s="138">
        <v>0.18276102568906685</v>
      </c>
      <c r="K40" s="138">
        <v>0.15547732325052463</v>
      </c>
    </row>
    <row r="41" spans="2:11" ht="15" thickBot="1" x14ac:dyDescent="0.35">
      <c r="B41" s="94">
        <v>45726</v>
      </c>
      <c r="C41" s="95">
        <v>7148.10302734375</v>
      </c>
      <c r="D41" s="97">
        <f t="shared" si="0"/>
        <v>1.6323813891006012E-3</v>
      </c>
      <c r="F41" s="95">
        <v>22397.19921875</v>
      </c>
      <c r="G41" s="97">
        <f t="shared" si="1"/>
        <v>-6.8861891697150623E-3</v>
      </c>
    </row>
    <row r="42" spans="2:11" x14ac:dyDescent="0.3">
      <c r="B42" s="94">
        <v>45733</v>
      </c>
      <c r="C42" s="95">
        <v>7076.8486328125</v>
      </c>
      <c r="D42" s="97">
        <f t="shared" si="0"/>
        <v>-9.9682942815289E-3</v>
      </c>
      <c r="F42" s="95">
        <v>23350.400390625</v>
      </c>
      <c r="G42" s="97">
        <f t="shared" si="1"/>
        <v>4.2558945096895062E-2</v>
      </c>
      <c r="I42" s="101" t="s">
        <v>301</v>
      </c>
      <c r="J42" s="101" t="s">
        <v>302</v>
      </c>
      <c r="K42" s="101" t="s">
        <v>303</v>
      </c>
    </row>
    <row r="43" spans="2:11" x14ac:dyDescent="0.3">
      <c r="B43" s="94">
        <v>45740</v>
      </c>
      <c r="C43" s="95">
        <v>7003.4091796875</v>
      </c>
      <c r="D43" s="97">
        <f t="shared" si="0"/>
        <v>-1.0377423191516466E-2</v>
      </c>
      <c r="F43" s="95">
        <v>23519.349609375</v>
      </c>
      <c r="G43" s="97">
        <f t="shared" si="1"/>
        <v>7.2353885125597817E-3</v>
      </c>
      <c r="I43" s="137">
        <v>0.11560455966215218</v>
      </c>
      <c r="J43" s="137">
        <v>0.90819548352166091</v>
      </c>
      <c r="K43" s="137">
        <v>-5.3972666736559188E-3</v>
      </c>
    </row>
    <row r="44" spans="2:11" ht="15" thickBot="1" x14ac:dyDescent="0.35">
      <c r="B44" s="94">
        <v>45747</v>
      </c>
      <c r="C44" s="95">
        <v>7389.62939453125</v>
      </c>
      <c r="D44" s="97">
        <f t="shared" si="0"/>
        <v>5.5147458178501418E-2</v>
      </c>
      <c r="F44" s="95">
        <v>22904.44921875</v>
      </c>
      <c r="G44" s="97">
        <f t="shared" si="1"/>
        <v>-2.6144447054772924E-2</v>
      </c>
      <c r="I44" s="138">
        <v>1.1754834844601698</v>
      </c>
      <c r="J44" s="138">
        <v>0.2425649065974822</v>
      </c>
      <c r="K44" s="138">
        <v>-0.12566416069954908</v>
      </c>
    </row>
    <row r="45" spans="2:11" ht="15" thickBot="1" x14ac:dyDescent="0.35">
      <c r="B45" s="94">
        <v>45754</v>
      </c>
      <c r="C45" s="95">
        <v>7426.27587890625</v>
      </c>
      <c r="D45" s="97">
        <f t="shared" si="0"/>
        <v>4.9591775741988364E-3</v>
      </c>
      <c r="F45" s="95">
        <v>22828.55078125</v>
      </c>
      <c r="G45" s="97">
        <f t="shared" si="1"/>
        <v>-3.3136984336592512E-3</v>
      </c>
    </row>
    <row r="46" spans="2:11" x14ac:dyDescent="0.3">
      <c r="B46" s="94">
        <v>45761</v>
      </c>
      <c r="C46" s="95">
        <v>7741.53271484375</v>
      </c>
      <c r="D46" s="97">
        <f t="shared" si="0"/>
        <v>4.24515384397397E-2</v>
      </c>
      <c r="F46" s="95">
        <v>23851.650390625</v>
      </c>
      <c r="G46" s="97">
        <f t="shared" si="1"/>
        <v>4.4816669230502093E-2</v>
      </c>
      <c r="I46" s="101" t="s">
        <v>304</v>
      </c>
      <c r="J46" s="101" t="s">
        <v>305</v>
      </c>
      <c r="K46" s="101" t="s">
        <v>306</v>
      </c>
    </row>
    <row r="47" spans="2:11" x14ac:dyDescent="0.3">
      <c r="B47" s="94">
        <v>45768</v>
      </c>
      <c r="C47" s="95">
        <v>7679.06396484375</v>
      </c>
      <c r="D47" s="97">
        <f t="shared" si="0"/>
        <v>-8.0693000082814326E-3</v>
      </c>
      <c r="F47" s="95">
        <v>24039.349609375</v>
      </c>
      <c r="G47" s="97">
        <f t="shared" si="1"/>
        <v>7.8694436517390276E-3</v>
      </c>
      <c r="I47" s="137">
        <v>6.0652606838335153E-3</v>
      </c>
      <c r="J47" s="137">
        <v>-5.3972666736559188E-3</v>
      </c>
      <c r="K47" s="137">
        <v>6.0652606838335153E-3</v>
      </c>
    </row>
    <row r="48" spans="2:11" ht="15" thickBot="1" x14ac:dyDescent="0.35">
      <c r="B48" s="94">
        <v>45775</v>
      </c>
      <c r="C48" s="95">
        <v>7756.43408203125</v>
      </c>
      <c r="D48" s="97">
        <f t="shared" si="0"/>
        <v>1.0075462001842395E-2</v>
      </c>
      <c r="F48" s="95">
        <v>24346.69921875</v>
      </c>
      <c r="G48" s="97">
        <f t="shared" si="1"/>
        <v>1.2785271414129218E-2</v>
      </c>
      <c r="I48" s="138">
        <v>0.49118621207768276</v>
      </c>
      <c r="J48" s="138">
        <v>-0.12566416069954908</v>
      </c>
      <c r="K48" s="138">
        <v>0.49118621207768276</v>
      </c>
    </row>
    <row r="49" spans="2:7" x14ac:dyDescent="0.3">
      <c r="B49" s="94">
        <v>45782</v>
      </c>
      <c r="C49" s="95">
        <v>7746.7265625</v>
      </c>
      <c r="D49" s="97">
        <f t="shared" si="0"/>
        <v>-1.2515441282145989E-3</v>
      </c>
      <c r="F49" s="95">
        <v>24008</v>
      </c>
      <c r="G49" s="97">
        <f t="shared" si="1"/>
        <v>-1.391150462355728E-2</v>
      </c>
    </row>
    <row r="50" spans="2:7" x14ac:dyDescent="0.3">
      <c r="B50" s="94">
        <v>45789</v>
      </c>
      <c r="C50" s="95">
        <v>7674.79248046875</v>
      </c>
      <c r="D50" s="97">
        <f t="shared" si="0"/>
        <v>-9.2857391378011744E-3</v>
      </c>
      <c r="F50" s="95">
        <v>25019.80078125</v>
      </c>
      <c r="G50" s="97">
        <f t="shared" si="1"/>
        <v>4.2144317779490237E-2</v>
      </c>
    </row>
    <row r="51" spans="2:7" x14ac:dyDescent="0.3">
      <c r="B51" s="94">
        <v>45796</v>
      </c>
      <c r="C51" s="95">
        <v>7728.33056640625</v>
      </c>
      <c r="D51" s="97">
        <f t="shared" si="0"/>
        <v>6.9758349914668116E-3</v>
      </c>
      <c r="F51" s="95">
        <v>24853.150390625</v>
      </c>
      <c r="G51" s="97">
        <f t="shared" si="1"/>
        <v>-6.6607401106841824E-3</v>
      </c>
    </row>
    <row r="52" spans="2:7" x14ac:dyDescent="0.3">
      <c r="B52" s="94">
        <v>45803</v>
      </c>
      <c r="C52" s="95">
        <v>7684.7431640625</v>
      </c>
      <c r="D52" s="97">
        <f t="shared" si="0"/>
        <v>-5.6399505649017412E-3</v>
      </c>
      <c r="F52" s="95">
        <v>24750.69921875</v>
      </c>
      <c r="G52" s="97">
        <f t="shared" si="1"/>
        <v>-4.1222609715364511E-3</v>
      </c>
    </row>
    <row r="53" spans="2:7" x14ac:dyDescent="0.3">
      <c r="B53" s="94">
        <v>45810</v>
      </c>
      <c r="C53" s="95">
        <v>7601.49951171875</v>
      </c>
      <c r="D53" s="97">
        <f t="shared" si="0"/>
        <v>-1.0832327192538682E-2</v>
      </c>
      <c r="F53" s="95">
        <v>25003.05078125</v>
      </c>
      <c r="G53" s="97">
        <f t="shared" si="1"/>
        <v>1.0195734684894431E-2</v>
      </c>
    </row>
    <row r="54" spans="2:7" x14ac:dyDescent="0.3">
      <c r="B54" s="94">
        <v>45817</v>
      </c>
      <c r="C54" s="95">
        <v>7636.83544921875</v>
      </c>
      <c r="D54" s="97">
        <f t="shared" si="0"/>
        <v>4.6485482825493474E-3</v>
      </c>
      <c r="F54" s="95">
        <v>24718.599609375</v>
      </c>
      <c r="G54" s="97">
        <f t="shared" si="1"/>
        <v>-1.1376658567134212E-2</v>
      </c>
    </row>
    <row r="55" spans="2:7" x14ac:dyDescent="0.3">
      <c r="B55" s="94">
        <v>45824</v>
      </c>
      <c r="C55" s="95">
        <v>7726.486328125</v>
      </c>
      <c r="D55" s="97">
        <f t="shared" si="0"/>
        <v>1.1739270736208063E-2</v>
      </c>
      <c r="F55" s="95">
        <v>25112.400390625</v>
      </c>
      <c r="G55" s="97">
        <f t="shared" si="1"/>
        <v>1.5931354828881306E-2</v>
      </c>
    </row>
    <row r="56" spans="2:7" x14ac:dyDescent="0.3">
      <c r="B56" s="94">
        <v>45831</v>
      </c>
      <c r="C56" s="95">
        <v>7895.0595703125</v>
      </c>
      <c r="D56" s="97">
        <f t="shared" si="0"/>
        <v>2.1817581113666273E-2</v>
      </c>
      <c r="F56" s="95">
        <v>25637.80078125</v>
      </c>
      <c r="G56" s="97">
        <f t="shared" si="1"/>
        <v>2.092195020995069E-2</v>
      </c>
    </row>
    <row r="57" spans="2:7" x14ac:dyDescent="0.3">
      <c r="B57" s="94">
        <v>45838</v>
      </c>
      <c r="C57" s="95">
        <v>8480.91796875</v>
      </c>
      <c r="D57" s="97">
        <f t="shared" si="0"/>
        <v>7.4205697021018313E-2</v>
      </c>
      <c r="F57" s="95">
        <v>25461</v>
      </c>
      <c r="G57" s="97">
        <f t="shared" si="1"/>
        <v>-6.896097787736255E-3</v>
      </c>
    </row>
    <row r="58" spans="2:7" x14ac:dyDescent="0.3">
      <c r="B58" s="94">
        <v>45845</v>
      </c>
      <c r="C58" s="95">
        <v>9034.4013671875</v>
      </c>
      <c r="D58" s="97">
        <f t="shared" si="0"/>
        <v>6.5262203982746181E-2</v>
      </c>
      <c r="F58" s="95">
        <v>25149.849609375</v>
      </c>
      <c r="G58" s="97">
        <f t="shared" si="1"/>
        <v>-1.2220666534111024E-2</v>
      </c>
    </row>
    <row r="59" spans="2:7" x14ac:dyDescent="0.3">
      <c r="B59" s="94">
        <v>45852</v>
      </c>
      <c r="C59" s="95">
        <v>9362.083984375</v>
      </c>
      <c r="D59" s="97">
        <f t="shared" si="0"/>
        <v>3.6270540113219507E-2</v>
      </c>
      <c r="F59" s="95">
        <v>24968.400390625</v>
      </c>
      <c r="G59" s="97">
        <f t="shared" si="1"/>
        <v>-7.2147238082235221E-3</v>
      </c>
    </row>
    <row r="60" spans="2:7" x14ac:dyDescent="0.3">
      <c r="B60" s="94">
        <v>45859</v>
      </c>
      <c r="C60" s="95">
        <v>9124.9736328125</v>
      </c>
      <c r="D60" s="97">
        <f t="shared" si="0"/>
        <v>-2.532666358881519E-2</v>
      </c>
      <c r="F60" s="95">
        <v>24837</v>
      </c>
      <c r="G60" s="97">
        <f t="shared" si="1"/>
        <v>-5.2626675545597301E-3</v>
      </c>
    </row>
    <row r="61" spans="2:7" x14ac:dyDescent="0.3">
      <c r="B61" s="94">
        <v>45866</v>
      </c>
      <c r="C61" s="95">
        <v>8818.73046875</v>
      </c>
      <c r="D61" s="97">
        <f t="shared" si="0"/>
        <v>-3.3560991668105222E-2</v>
      </c>
      <c r="F61" s="95">
        <v>24565.349609375</v>
      </c>
      <c r="G61" s="97">
        <f t="shared" si="1"/>
        <v>-1.0937326997020547E-2</v>
      </c>
    </row>
    <row r="62" spans="2:7" x14ac:dyDescent="0.3">
      <c r="B62" s="94">
        <v>45873</v>
      </c>
      <c r="C62" s="95">
        <v>8440.369140625</v>
      </c>
      <c r="D62" s="97">
        <f t="shared" si="0"/>
        <v>-4.2904285312467483E-2</v>
      </c>
      <c r="F62" s="95">
        <v>24363.30078125</v>
      </c>
      <c r="G62" s="97">
        <f t="shared" si="1"/>
        <v>-8.2249522737462E-3</v>
      </c>
    </row>
    <row r="63" spans="2:7" x14ac:dyDescent="0.3">
      <c r="B63" s="94">
        <v>45880</v>
      </c>
      <c r="C63" s="95">
        <v>8400.205078125</v>
      </c>
      <c r="D63" s="97">
        <f t="shared" si="0"/>
        <v>-4.75856705208344E-3</v>
      </c>
      <c r="F63" s="95">
        <v>24631.30078125</v>
      </c>
      <c r="G63" s="97">
        <f t="shared" si="1"/>
        <v>1.1000151515029977E-2</v>
      </c>
    </row>
    <row r="64" spans="2:7" x14ac:dyDescent="0.3">
      <c r="B64" s="94">
        <v>45887</v>
      </c>
      <c r="C64" s="95">
        <v>8665.3095703125</v>
      </c>
      <c r="D64" s="97">
        <f t="shared" si="0"/>
        <v>3.1559288103317762E-2</v>
      </c>
      <c r="F64" s="95">
        <v>24870.099609375</v>
      </c>
      <c r="G64" s="97">
        <f t="shared" si="1"/>
        <v>9.6949337043044093E-3</v>
      </c>
    </row>
    <row r="65" spans="2:7" x14ac:dyDescent="0.3">
      <c r="B65" s="94">
        <v>45894</v>
      </c>
      <c r="C65" s="95">
        <v>8827.8369140625</v>
      </c>
      <c r="D65" s="97">
        <f t="shared" si="0"/>
        <v>1.8756092027781834E-2</v>
      </c>
      <c r="F65" s="95">
        <v>24426.849609375</v>
      </c>
      <c r="G65" s="97">
        <f t="shared" si="1"/>
        <v>-1.7822606542070796E-2</v>
      </c>
    </row>
    <row r="66" spans="2:7" x14ac:dyDescent="0.3">
      <c r="B66" s="94">
        <v>45901</v>
      </c>
      <c r="C66" s="95">
        <v>8954.53125</v>
      </c>
      <c r="D66" s="97">
        <f t="shared" si="0"/>
        <v>1.4351685149017523E-2</v>
      </c>
      <c r="F66" s="95">
        <v>24741</v>
      </c>
      <c r="G66" s="97">
        <f t="shared" si="1"/>
        <v>1.2860863993874538E-2</v>
      </c>
    </row>
    <row r="67" spans="2:7" x14ac:dyDescent="0.3">
      <c r="B67" s="94">
        <v>45908</v>
      </c>
      <c r="C67" s="95">
        <v>8849.248046875</v>
      </c>
      <c r="D67" s="97">
        <f t="shared" si="0"/>
        <v>-1.1757533720707092E-2</v>
      </c>
      <c r="F67" s="95">
        <v>25114</v>
      </c>
      <c r="G67" s="97">
        <f t="shared" si="1"/>
        <v>1.5076189321369338E-2</v>
      </c>
    </row>
    <row r="68" spans="2:7" x14ac:dyDescent="0.3">
      <c r="B68" s="94">
        <v>45915</v>
      </c>
      <c r="C68" s="95">
        <v>8827.8857421875</v>
      </c>
      <c r="D68" s="97">
        <f t="shared" si="0"/>
        <v>-2.4140248498338845E-3</v>
      </c>
      <c r="F68" s="95">
        <v>25327.05078125</v>
      </c>
      <c r="G68" s="97">
        <f t="shared" si="1"/>
        <v>8.483347186827972E-3</v>
      </c>
    </row>
    <row r="69" spans="2:7" x14ac:dyDescent="0.3">
      <c r="B69" s="94">
        <v>45922</v>
      </c>
      <c r="C69" s="95">
        <v>8636.0712890625</v>
      </c>
      <c r="D69" s="97">
        <f t="shared" si="0"/>
        <v>-2.1728243741119035E-2</v>
      </c>
      <c r="F69" s="95">
        <v>24654.69921875</v>
      </c>
      <c r="G69" s="97">
        <f t="shared" si="1"/>
        <v>-2.6546776737138011E-2</v>
      </c>
    </row>
    <row r="70" spans="2:7" x14ac:dyDescent="0.3">
      <c r="B70" s="94">
        <v>45929</v>
      </c>
      <c r="C70" s="95">
        <v>8635.875</v>
      </c>
      <c r="D70" s="97">
        <f t="shared" si="0"/>
        <v>-2.2728976629471376E-5</v>
      </c>
      <c r="F70" s="95">
        <v>24894.25</v>
      </c>
      <c r="G70" s="97">
        <f t="shared" si="1"/>
        <v>9.7162321521173656E-3</v>
      </c>
    </row>
    <row r="71" spans="2:7" x14ac:dyDescent="0.3">
      <c r="B71" s="94">
        <v>45936</v>
      </c>
      <c r="C71" s="95">
        <v>8463.5029296875</v>
      </c>
      <c r="D71" s="97">
        <f t="shared" si="0"/>
        <v>-1.996000061516634E-2</v>
      </c>
      <c r="F71" s="95">
        <v>25285.349609375</v>
      </c>
      <c r="G71" s="97">
        <f t="shared" si="1"/>
        <v>1.5710439534229792E-2</v>
      </c>
    </row>
    <row r="72" spans="2:7" x14ac:dyDescent="0.3">
      <c r="B72" s="94">
        <v>45943</v>
      </c>
      <c r="C72" s="95">
        <v>8575.283203125</v>
      </c>
      <c r="D72" s="97">
        <f t="shared" si="0"/>
        <v>1.3207329679701285E-2</v>
      </c>
      <c r="F72" s="95">
        <v>25709.849609375</v>
      </c>
      <c r="G72" s="97">
        <f t="shared" si="1"/>
        <v>1.6788377719033409E-2</v>
      </c>
    </row>
    <row r="73" spans="2:7" x14ac:dyDescent="0.3">
      <c r="B73" s="94">
        <v>45950</v>
      </c>
      <c r="C73" s="95">
        <v>8584.5380859375</v>
      </c>
      <c r="D73" s="97">
        <f t="shared" si="0"/>
        <v>1.0792509813701834E-3</v>
      </c>
      <c r="F73" s="95">
        <v>25795.150390625</v>
      </c>
      <c r="G73" s="97">
        <f t="shared" si="1"/>
        <v>3.3178249793766046E-3</v>
      </c>
    </row>
    <row r="74" spans="2:7" x14ac:dyDescent="0.3">
      <c r="B74" s="94">
        <v>45957</v>
      </c>
      <c r="C74" s="95">
        <v>8658.171875</v>
      </c>
      <c r="D74" s="97">
        <f t="shared" si="0"/>
        <v>8.5774899389310377E-3</v>
      </c>
      <c r="F74" s="95">
        <v>25722.099609375</v>
      </c>
      <c r="G74" s="97">
        <f t="shared" si="1"/>
        <v>-2.8319579511562054E-3</v>
      </c>
    </row>
    <row r="75" spans="2:7" x14ac:dyDescent="0.3">
      <c r="B75" s="94">
        <v>45964</v>
      </c>
      <c r="C75" s="95">
        <v>8484.5693359375</v>
      </c>
      <c r="D75" s="97">
        <f t="shared" si="0"/>
        <v>-2.0050715274406605E-2</v>
      </c>
      <c r="F75" s="95">
        <v>25492.30078125</v>
      </c>
      <c r="G75" s="97">
        <f t="shared" si="1"/>
        <v>-8.9339063146013364E-3</v>
      </c>
    </row>
    <row r="76" spans="2:7" x14ac:dyDescent="0.3">
      <c r="B76" s="94">
        <v>45971</v>
      </c>
      <c r="C76" s="95">
        <v>8247.2744140625</v>
      </c>
      <c r="D76" s="97">
        <f t="shared" si="0"/>
        <v>-2.7967821639444446E-2</v>
      </c>
      <c r="F76" s="95">
        <v>25910.05078125</v>
      </c>
      <c r="G76" s="97">
        <f t="shared" si="1"/>
        <v>1.6387300761305124E-2</v>
      </c>
    </row>
    <row r="77" spans="2:7" x14ac:dyDescent="0.3">
      <c r="B77" s="94">
        <v>45978</v>
      </c>
      <c r="C77" s="95">
        <v>8044.09033203125</v>
      </c>
      <c r="D77" s="97">
        <f t="shared" ref="D77:D114" si="2">C77/C76-1</f>
        <v>-2.4636512844146363E-2</v>
      </c>
      <c r="F77" s="95">
        <v>26068.150390625</v>
      </c>
      <c r="G77" s="97">
        <f t="shared" ref="G77:G114" si="3">F77/F76-1</f>
        <v>6.1018641263879125E-3</v>
      </c>
    </row>
    <row r="78" spans="2:7" x14ac:dyDescent="0.3">
      <c r="B78" s="94">
        <v>45985</v>
      </c>
      <c r="C78" s="95">
        <v>8043.25341796875</v>
      </c>
      <c r="D78" s="97">
        <f t="shared" si="2"/>
        <v>-1.040408583140584E-4</v>
      </c>
      <c r="F78" s="95">
        <v>26202.94921875</v>
      </c>
      <c r="G78" s="97">
        <f t="shared" si="3"/>
        <v>5.1710162057940767E-3</v>
      </c>
    </row>
    <row r="79" spans="2:7" x14ac:dyDescent="0.3">
      <c r="B79" s="94">
        <v>45992</v>
      </c>
      <c r="C79" s="95">
        <v>7866.2060546875</v>
      </c>
      <c r="D79" s="97">
        <f t="shared" si="2"/>
        <v>-2.2011909121963491E-2</v>
      </c>
      <c r="F79" s="95">
        <v>26186.44921875</v>
      </c>
      <c r="G79" s="97">
        <f t="shared" si="3"/>
        <v>-6.2970010979501723E-4</v>
      </c>
    </row>
    <row r="80" spans="2:7" x14ac:dyDescent="0.3">
      <c r="B80" s="94">
        <v>45999</v>
      </c>
      <c r="C80" s="95">
        <v>8402.419921875</v>
      </c>
      <c r="D80" s="97">
        <f t="shared" si="2"/>
        <v>6.8166771053240982E-2</v>
      </c>
      <c r="F80" s="95">
        <v>26046.94921875</v>
      </c>
      <c r="G80" s="97">
        <f t="shared" si="3"/>
        <v>-5.3271827285432671E-3</v>
      </c>
    </row>
    <row r="81" spans="2:7" x14ac:dyDescent="0.3">
      <c r="B81" s="94">
        <v>46006</v>
      </c>
      <c r="C81" s="95">
        <v>7984.287109375</v>
      </c>
      <c r="D81" s="97">
        <f t="shared" si="2"/>
        <v>-4.9763379643931627E-2</v>
      </c>
      <c r="F81" s="95">
        <v>25966.400390625</v>
      </c>
      <c r="G81" s="97">
        <f t="shared" si="3"/>
        <v>-3.0924476969846904E-3</v>
      </c>
    </row>
    <row r="82" spans="2:7" x14ac:dyDescent="0.3">
      <c r="B82" s="94">
        <v>46013</v>
      </c>
      <c r="C82" s="95">
        <v>8214.3955078125</v>
      </c>
      <c r="D82" s="97">
        <f t="shared" si="2"/>
        <v>2.8820155799170966E-2</v>
      </c>
      <c r="F82" s="95">
        <v>26042.30078125</v>
      </c>
      <c r="G82" s="97">
        <f t="shared" si="3"/>
        <v>2.9230231947130481E-3</v>
      </c>
    </row>
    <row r="83" spans="2:7" x14ac:dyDescent="0.3">
      <c r="B83" s="94">
        <v>46020</v>
      </c>
      <c r="C83" s="95">
        <v>7973.4091796875</v>
      </c>
      <c r="D83" s="97">
        <f t="shared" si="2"/>
        <v>-2.9337073908336175E-2</v>
      </c>
      <c r="F83" s="95">
        <v>26328.55078125</v>
      </c>
      <c r="G83" s="97">
        <f t="shared" si="3"/>
        <v>1.099173235131734E-2</v>
      </c>
    </row>
    <row r="84" spans="2:7" x14ac:dyDescent="0.3">
      <c r="B84" s="94">
        <v>46027</v>
      </c>
      <c r="C84" s="95">
        <v>7702.98876953125</v>
      </c>
      <c r="D84" s="97">
        <f t="shared" si="2"/>
        <v>-3.3915280661270253E-2</v>
      </c>
      <c r="F84" s="95">
        <v>25683.30078125</v>
      </c>
      <c r="G84" s="97">
        <f t="shared" si="3"/>
        <v>-2.4507615529659854E-2</v>
      </c>
    </row>
    <row r="85" spans="2:7" x14ac:dyDescent="0.3">
      <c r="B85" s="94">
        <v>46034</v>
      </c>
      <c r="C85" s="95">
        <v>7628.8623046875</v>
      </c>
      <c r="D85" s="97">
        <f t="shared" si="2"/>
        <v>-9.6230784000300718E-3</v>
      </c>
      <c r="F85" s="95">
        <v>25694.349609375</v>
      </c>
      <c r="G85" s="97">
        <f t="shared" si="3"/>
        <v>4.3019502123597952E-4</v>
      </c>
    </row>
    <row r="86" spans="2:7" x14ac:dyDescent="0.3">
      <c r="B86" s="94">
        <v>46041</v>
      </c>
      <c r="C86" s="95">
        <v>7502.31494140625</v>
      </c>
      <c r="D86" s="97">
        <f t="shared" si="2"/>
        <v>-1.6587973177008775E-2</v>
      </c>
      <c r="F86" s="95">
        <v>25048.650390625</v>
      </c>
      <c r="G86" s="97">
        <f t="shared" si="3"/>
        <v>-2.5130008292344796E-2</v>
      </c>
    </row>
    <row r="87" spans="2:7" x14ac:dyDescent="0.3">
      <c r="B87" s="94">
        <v>46048</v>
      </c>
      <c r="C87" s="95">
        <v>7378.8193359375</v>
      </c>
      <c r="D87" s="97">
        <f t="shared" si="2"/>
        <v>-1.646099989580041E-2</v>
      </c>
      <c r="F87" s="95">
        <v>24825.44921875</v>
      </c>
      <c r="G87" s="97">
        <f t="shared" si="3"/>
        <v>-8.9107065009194075E-3</v>
      </c>
    </row>
    <row r="88" spans="2:7" x14ac:dyDescent="0.3">
      <c r="B88" s="94">
        <v>46055</v>
      </c>
      <c r="C88" s="95">
        <v>7410.517578125</v>
      </c>
      <c r="D88" s="97">
        <f t="shared" si="2"/>
        <v>4.2958420235494899E-3</v>
      </c>
      <c r="F88" s="95">
        <v>25693.69921875</v>
      </c>
      <c r="G88" s="97">
        <f t="shared" si="3"/>
        <v>3.4974190893763746E-2</v>
      </c>
    </row>
    <row r="89" spans="2:7" x14ac:dyDescent="0.3">
      <c r="B89" s="94">
        <v>46062</v>
      </c>
      <c r="C89" s="95">
        <v>7255.27490234375</v>
      </c>
      <c r="D89" s="97">
        <f t="shared" si="2"/>
        <v>-2.0948965324569024E-2</v>
      </c>
      <c r="F89" s="95">
        <v>25471.099609375</v>
      </c>
      <c r="G89" s="97">
        <f t="shared" si="3"/>
        <v>-8.6635874219527231E-3</v>
      </c>
    </row>
    <row r="90" spans="2:7" x14ac:dyDescent="0.3">
      <c r="B90" s="94">
        <v>46069</v>
      </c>
      <c r="C90" s="95">
        <v>7201.525390625</v>
      </c>
      <c r="D90" s="97">
        <f t="shared" si="2"/>
        <v>-7.4083356512634202E-3</v>
      </c>
      <c r="F90" s="95">
        <v>25571.25</v>
      </c>
      <c r="G90" s="97">
        <f t="shared" si="3"/>
        <v>3.9319225381277967E-3</v>
      </c>
    </row>
    <row r="91" spans="2:7" x14ac:dyDescent="0.3">
      <c r="B91" s="94">
        <v>46076</v>
      </c>
      <c r="C91" s="95">
        <v>7234.01123046875</v>
      </c>
      <c r="D91" s="97">
        <f t="shared" si="2"/>
        <v>4.5109665080178551E-3</v>
      </c>
      <c r="F91" s="95">
        <v>25178.650390625</v>
      </c>
      <c r="G91" s="97">
        <f t="shared" si="3"/>
        <v>-1.5353164564696709E-2</v>
      </c>
    </row>
    <row r="92" spans="2:7" x14ac:dyDescent="0.3">
      <c r="B92" s="94">
        <v>46083</v>
      </c>
      <c r="C92" s="95">
        <v>7049.77734375</v>
      </c>
      <c r="D92" s="97">
        <f t="shared" si="2"/>
        <v>-2.5467735789900359E-2</v>
      </c>
      <c r="F92" s="95">
        <v>24450.44921875</v>
      </c>
      <c r="G92" s="97">
        <f t="shared" si="3"/>
        <v>-2.8921374282480872E-2</v>
      </c>
    </row>
    <row r="93" spans="2:7" x14ac:dyDescent="0.3">
      <c r="B93" s="94">
        <v>46090</v>
      </c>
      <c r="C93" s="95">
        <v>7371.9775390625</v>
      </c>
      <c r="D93" s="97">
        <f t="shared" si="2"/>
        <v>4.5703598794953004E-2</v>
      </c>
      <c r="F93" s="95">
        <v>23151.099609375</v>
      </c>
      <c r="G93" s="97">
        <f t="shared" si="3"/>
        <v>-5.3142156929312567E-2</v>
      </c>
    </row>
    <row r="94" spans="2:7" x14ac:dyDescent="0.3">
      <c r="B94" s="94">
        <v>46097</v>
      </c>
      <c r="C94" s="95">
        <v>7405.841796875</v>
      </c>
      <c r="D94" s="97">
        <f t="shared" si="2"/>
        <v>4.5936463632805236E-3</v>
      </c>
      <c r="F94" s="95">
        <v>23114.5</v>
      </c>
      <c r="G94" s="97">
        <f t="shared" si="3"/>
        <v>-1.5809015551113692E-3</v>
      </c>
    </row>
    <row r="95" spans="2:7" x14ac:dyDescent="0.3">
      <c r="B95" s="94">
        <v>46104</v>
      </c>
      <c r="C95" s="95">
        <v>7479.72265625</v>
      </c>
      <c r="D95" s="97">
        <f t="shared" si="2"/>
        <v>9.9760245224487232E-3</v>
      </c>
      <c r="F95" s="95">
        <v>22819.599609375</v>
      </c>
      <c r="G95" s="97">
        <f t="shared" si="3"/>
        <v>-1.2758242255943242E-2</v>
      </c>
    </row>
    <row r="96" spans="2:7" x14ac:dyDescent="0.3">
      <c r="B96" s="94">
        <v>46111</v>
      </c>
      <c r="C96" s="95">
        <v>7218.85107421875</v>
      </c>
      <c r="D96" s="97">
        <f t="shared" si="2"/>
        <v>-3.4877173127972561E-2</v>
      </c>
      <c r="F96" s="95">
        <v>22713.099609375</v>
      </c>
      <c r="G96" s="97">
        <f t="shared" si="3"/>
        <v>-4.6670406940990672E-3</v>
      </c>
    </row>
    <row r="97" spans="2:7" x14ac:dyDescent="0.3">
      <c r="B97" s="94">
        <v>46118</v>
      </c>
      <c r="C97" s="95">
        <v>7457.91796875</v>
      </c>
      <c r="D97" s="97">
        <f t="shared" si="2"/>
        <v>3.311702819096074E-2</v>
      </c>
      <c r="F97" s="95">
        <v>24050.599609375</v>
      </c>
      <c r="G97" s="97">
        <f t="shared" si="3"/>
        <v>5.888672277243634E-2</v>
      </c>
    </row>
    <row r="98" spans="2:7" x14ac:dyDescent="0.3">
      <c r="B98" s="94">
        <v>46125</v>
      </c>
      <c r="C98" s="95">
        <v>7469.53369140625</v>
      </c>
      <c r="D98" s="97">
        <f t="shared" si="2"/>
        <v>1.5575020675906437E-3</v>
      </c>
      <c r="F98" s="95">
        <v>24353.55078125</v>
      </c>
      <c r="G98" s="97">
        <f t="shared" si="3"/>
        <v>1.2596408272370407E-2</v>
      </c>
    </row>
    <row r="99" spans="2:7" x14ac:dyDescent="0.3">
      <c r="B99" s="94">
        <v>46132</v>
      </c>
      <c r="C99" s="95">
        <v>7350.1240234375</v>
      </c>
      <c r="D99" s="97">
        <f t="shared" si="2"/>
        <v>-1.5986227909532191E-2</v>
      </c>
      <c r="F99" s="95">
        <v>23897.94921875</v>
      </c>
      <c r="G99" s="97">
        <f t="shared" si="3"/>
        <v>-1.8707808425651451E-2</v>
      </c>
    </row>
    <row r="100" spans="2:7" x14ac:dyDescent="0.3">
      <c r="B100" s="94">
        <v>46139</v>
      </c>
      <c r="C100" s="95">
        <v>7328.318359375</v>
      </c>
      <c r="D100" s="97">
        <f t="shared" si="2"/>
        <v>-2.9667069552796743E-3</v>
      </c>
      <c r="F100" s="95">
        <v>23997.55078125</v>
      </c>
      <c r="G100" s="97">
        <f t="shared" si="3"/>
        <v>4.1677870175509391E-3</v>
      </c>
    </row>
    <row r="101" spans="2:7" x14ac:dyDescent="0.3">
      <c r="B101" s="94">
        <v>46146</v>
      </c>
      <c r="C101" s="95">
        <v>7370.6982421875</v>
      </c>
      <c r="D101" s="97">
        <f t="shared" si="2"/>
        <v>5.783029712169041E-3</v>
      </c>
      <c r="F101" s="95">
        <v>24176.150390625</v>
      </c>
      <c r="G101" s="97">
        <f t="shared" si="3"/>
        <v>7.442409894369062E-3</v>
      </c>
    </row>
    <row r="102" spans="2:7" x14ac:dyDescent="0.3">
      <c r="B102" s="94">
        <v>46153</v>
      </c>
      <c r="C102" s="95">
        <v>7049.53125</v>
      </c>
      <c r="D102" s="97">
        <f t="shared" si="2"/>
        <v>-4.3573482678919584E-2</v>
      </c>
      <c r="F102" s="95">
        <v>23643.5</v>
      </c>
      <c r="G102" s="97">
        <f t="shared" si="3"/>
        <v>-2.2032059778696267E-2</v>
      </c>
    </row>
    <row r="103" spans="2:7" x14ac:dyDescent="0.3">
      <c r="B103" s="94">
        <v>46160</v>
      </c>
      <c r="C103" s="95">
        <v>7052.3857421875</v>
      </c>
      <c r="D103" s="97">
        <f t="shared" si="2"/>
        <v>4.049194316997351E-4</v>
      </c>
      <c r="F103" s="95">
        <v>23719.30078125</v>
      </c>
      <c r="G103" s="97">
        <f t="shared" si="3"/>
        <v>3.2059881679953328E-3</v>
      </c>
    </row>
    <row r="104" spans="2:7" x14ac:dyDescent="0.3">
      <c r="B104" s="94">
        <v>46167</v>
      </c>
      <c r="C104" s="95">
        <v>7326.9404296875</v>
      </c>
      <c r="D104" s="97">
        <f t="shared" si="2"/>
        <v>3.8930753015622654E-2</v>
      </c>
      <c r="F104" s="95">
        <v>23547.75</v>
      </c>
      <c r="G104" s="97">
        <f t="shared" si="3"/>
        <v>-7.2325395605932208E-3</v>
      </c>
    </row>
    <row r="105" spans="2:7" x14ac:dyDescent="0.3">
      <c r="B105" s="94">
        <v>46174</v>
      </c>
      <c r="C105" s="95">
        <v>7439.41064453125</v>
      </c>
      <c r="D105" s="97">
        <f t="shared" si="2"/>
        <v>1.5350229188167086E-2</v>
      </c>
      <c r="F105" s="95">
        <v>23366.69921875</v>
      </c>
      <c r="G105" s="97">
        <f t="shared" si="3"/>
        <v>-7.6886658491788218E-3</v>
      </c>
    </row>
    <row r="106" spans="2:7" x14ac:dyDescent="0.3">
      <c r="B106" s="94">
        <v>46181</v>
      </c>
      <c r="C106" s="95">
        <v>7589.6328125</v>
      </c>
      <c r="D106" s="97">
        <f t="shared" si="2"/>
        <v>2.0192751166274059E-2</v>
      </c>
      <c r="F106" s="95">
        <v>23622.900390625</v>
      </c>
      <c r="G106" s="97">
        <f t="shared" si="3"/>
        <v>1.0964371539024187E-2</v>
      </c>
    </row>
    <row r="107" spans="2:7" x14ac:dyDescent="0.3">
      <c r="B107" s="94">
        <v>46188</v>
      </c>
      <c r="C107" s="95">
        <v>7619.65771484375</v>
      </c>
      <c r="D107" s="97">
        <f t="shared" si="2"/>
        <v>3.9560414957491297E-3</v>
      </c>
      <c r="F107" s="95">
        <v>24013.099609375</v>
      </c>
      <c r="G107" s="97">
        <f t="shared" si="3"/>
        <v>1.6517837026686744E-2</v>
      </c>
    </row>
    <row r="108" spans="2:7" x14ac:dyDescent="0.3">
      <c r="B108" s="94">
        <v>46195</v>
      </c>
      <c r="C108" s="95">
        <v>7888.06005859375</v>
      </c>
      <c r="D108" s="97">
        <f t="shared" si="2"/>
        <v>3.5224986973775518E-2</v>
      </c>
      <c r="F108" s="95">
        <v>24056</v>
      </c>
      <c r="G108" s="97">
        <f t="shared" si="3"/>
        <v>1.78654115140775E-3</v>
      </c>
    </row>
    <row r="109" spans="2:7" x14ac:dyDescent="0.3">
      <c r="B109" s="94">
        <v>46202</v>
      </c>
      <c r="C109" s="95">
        <v>8789.3955078125</v>
      </c>
      <c r="D109" s="97">
        <f t="shared" si="2"/>
        <v>0.11426579444419649</v>
      </c>
      <c r="F109" s="95">
        <v>24270.849609375</v>
      </c>
      <c r="G109" s="97">
        <f t="shared" si="3"/>
        <v>8.9312275263966345E-3</v>
      </c>
    </row>
    <row r="110" spans="2:7" x14ac:dyDescent="0.3">
      <c r="B110" s="94">
        <v>46209</v>
      </c>
      <c r="C110" s="95">
        <v>8711.1337890625</v>
      </c>
      <c r="D110" s="97">
        <f t="shared" si="2"/>
        <v>-8.9041070777207132E-3</v>
      </c>
      <c r="F110" s="95">
        <v>24206.900390625</v>
      </c>
      <c r="G110" s="97">
        <f t="shared" si="3"/>
        <v>-2.6348158296567448E-3</v>
      </c>
    </row>
    <row r="111" spans="2:7" x14ac:dyDescent="0.3">
      <c r="B111" s="94">
        <v>46216</v>
      </c>
      <c r="C111" s="95">
        <v>8937.2548828125</v>
      </c>
      <c r="D111" s="97">
        <f t="shared" si="2"/>
        <v>2.595771104260991E-2</v>
      </c>
      <c r="F111" s="95">
        <v>24334.30078125</v>
      </c>
      <c r="G111" s="97">
        <f t="shared" si="3"/>
        <v>5.2629782652529045E-3</v>
      </c>
    </row>
    <row r="112" spans="2:7" x14ac:dyDescent="0.3">
      <c r="B112" s="94">
        <v>46223</v>
      </c>
      <c r="C112" s="95">
        <v>8715.349609375</v>
      </c>
      <c r="D112" s="97">
        <f t="shared" si="2"/>
        <v>-2.482924302229006E-2</v>
      </c>
      <c r="F112" s="95">
        <v>23767.44921875</v>
      </c>
      <c r="G112" s="97">
        <f t="shared" si="3"/>
        <v>-2.3294343552158647E-2</v>
      </c>
    </row>
    <row r="113" spans="2:7" x14ac:dyDescent="0.3">
      <c r="B113" s="94">
        <v>46230</v>
      </c>
      <c r="C113" s="95">
        <v>8500</v>
      </c>
      <c r="D113" s="97">
        <f t="shared" si="2"/>
        <v>-2.4709233596705182E-2</v>
      </c>
      <c r="F113" s="95">
        <v>24383.599609375</v>
      </c>
      <c r="G113" s="97">
        <f t="shared" si="3"/>
        <v>2.5924127783090833E-2</v>
      </c>
    </row>
    <row r="114" spans="2:7" x14ac:dyDescent="0.3">
      <c r="B114" s="94">
        <v>46237</v>
      </c>
      <c r="C114" s="95">
        <v>8318.599609375</v>
      </c>
      <c r="D114" s="97">
        <f t="shared" si="2"/>
        <v>-2.134122242647063E-2</v>
      </c>
      <c r="F114" s="95">
        <v>24570.650390625</v>
      </c>
      <c r="G114" s="97">
        <f t="shared" si="3"/>
        <v>7.6711717813018332E-3</v>
      </c>
    </row>
    <row r="115" spans="2:7" x14ac:dyDescent="0.3">
      <c r="B115" s="94">
        <v>46244</v>
      </c>
      <c r="C115" s="95">
        <v>8351.650390625</v>
      </c>
      <c r="D115" s="97">
        <f>C115/C114-1</f>
        <v>3.9731184095881389E-3</v>
      </c>
      <c r="F115" s="95">
        <v>24366</v>
      </c>
      <c r="G115" s="97">
        <f>F115/F114-1</f>
        <v>-8.3290587498280333E-3</v>
      </c>
    </row>
  </sheetData>
  <mergeCells count="4">
    <mergeCell ref="B2:H4"/>
    <mergeCell ref="F8:G8"/>
    <mergeCell ref="B8:D8"/>
    <mergeCell ref="I8:J8"/>
  </mergeCells>
  <pageMargins left="0.7" right="0.7" top="0.75" bottom="0.75" header="0.3" footer="0.3"/>
  <pageSetup scale="40"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37A17-FC20-402F-9158-1225C8D425B3}">
  <sheetPr>
    <tabColor rgb="FF92D050"/>
  </sheetPr>
  <dimension ref="B1:M10"/>
  <sheetViews>
    <sheetView showGridLines="0" zoomScaleNormal="100" workbookViewId="0">
      <selection activeCell="F17" sqref="F17"/>
    </sheetView>
  </sheetViews>
  <sheetFormatPr defaultRowHeight="14.4" x14ac:dyDescent="0.3"/>
  <cols>
    <col min="1" max="1" width="1.88671875" customWidth="1"/>
    <col min="2" max="2" width="5.44140625" bestFit="1" customWidth="1"/>
    <col min="3" max="3" width="15" bestFit="1" customWidth="1"/>
    <col min="4" max="4" width="7.6640625" bestFit="1" customWidth="1"/>
    <col min="5" max="5" width="13.6640625" bestFit="1" customWidth="1"/>
    <col min="6" max="6" width="10.109375" bestFit="1" customWidth="1"/>
    <col min="7" max="7" width="8.5546875" bestFit="1" customWidth="1"/>
  </cols>
  <sheetData>
    <row r="1" spans="2:13" ht="15" thickBot="1" x14ac:dyDescent="0.35"/>
    <row r="2" spans="2:13" ht="15" thickTop="1" x14ac:dyDescent="0.3">
      <c r="B2" s="224" t="s">
        <v>221</v>
      </c>
      <c r="C2" s="224"/>
      <c r="D2" s="224"/>
      <c r="E2" s="224"/>
      <c r="F2" s="224"/>
      <c r="G2" s="224"/>
      <c r="H2" s="224"/>
      <c r="I2" s="224"/>
      <c r="J2" s="82"/>
      <c r="K2" s="75"/>
      <c r="L2" s="82"/>
      <c r="M2" s="75"/>
    </row>
    <row r="3" spans="2:13" x14ac:dyDescent="0.3">
      <c r="B3" s="225"/>
      <c r="C3" s="225"/>
      <c r="D3" s="225"/>
      <c r="E3" s="225"/>
      <c r="F3" s="225"/>
      <c r="G3" s="225"/>
      <c r="H3" s="225"/>
      <c r="I3" s="225"/>
      <c r="J3" s="83"/>
      <c r="L3" s="83"/>
    </row>
    <row r="4" spans="2:13" ht="15" thickBot="1" x14ac:dyDescent="0.35">
      <c r="B4" s="226"/>
      <c r="C4" s="226"/>
      <c r="D4" s="226"/>
      <c r="E4" s="226"/>
      <c r="F4" s="226"/>
      <c r="G4" s="226"/>
      <c r="H4" s="226"/>
      <c r="I4" s="226"/>
      <c r="J4" s="81"/>
      <c r="K4" s="84"/>
      <c r="L4" s="81"/>
      <c r="M4" s="84"/>
    </row>
    <row r="5" spans="2:13" ht="15" thickTop="1" x14ac:dyDescent="0.3"/>
    <row r="6" spans="2:13" x14ac:dyDescent="0.3">
      <c r="B6" t="s">
        <v>315</v>
      </c>
      <c r="C6" t="s">
        <v>249</v>
      </c>
      <c r="D6" t="s">
        <v>316</v>
      </c>
      <c r="E6" t="s">
        <v>317</v>
      </c>
      <c r="F6" t="s">
        <v>318</v>
      </c>
      <c r="G6" t="s">
        <v>319</v>
      </c>
    </row>
    <row r="7" spans="2:13" x14ac:dyDescent="0.3">
      <c r="B7">
        <v>1</v>
      </c>
      <c r="C7" t="s">
        <v>250</v>
      </c>
      <c r="D7">
        <v>377.6</v>
      </c>
      <c r="E7">
        <v>8340.6200000000008</v>
      </c>
      <c r="F7">
        <v>38.11</v>
      </c>
      <c r="G7">
        <v>0.01</v>
      </c>
    </row>
    <row r="8" spans="2:13" x14ac:dyDescent="0.3">
      <c r="B8">
        <v>2</v>
      </c>
      <c r="C8" t="s">
        <v>314</v>
      </c>
      <c r="D8">
        <v>8351</v>
      </c>
      <c r="E8">
        <v>4417.68</v>
      </c>
      <c r="F8">
        <v>29.39</v>
      </c>
      <c r="G8">
        <v>7.0000000000000007E-2</v>
      </c>
    </row>
    <row r="9" spans="2:13" x14ac:dyDescent="0.3">
      <c r="B9">
        <v>3</v>
      </c>
      <c r="C9" t="s">
        <v>251</v>
      </c>
      <c r="D9">
        <v>238.55</v>
      </c>
      <c r="E9">
        <v>2852.76</v>
      </c>
      <c r="F9">
        <v>148.08000000000001</v>
      </c>
      <c r="G9">
        <v>0.17</v>
      </c>
    </row>
    <row r="10" spans="2:13" x14ac:dyDescent="0.3">
      <c r="B10">
        <v>4</v>
      </c>
      <c r="C10" t="s">
        <v>252</v>
      </c>
      <c r="D10">
        <v>215.54</v>
      </c>
      <c r="E10">
        <v>1411.95</v>
      </c>
      <c r="F10">
        <v>86.4</v>
      </c>
      <c r="G10">
        <v>0.14000000000000001</v>
      </c>
    </row>
  </sheetData>
  <mergeCells count="1">
    <mergeCell ref="B2:I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5C651-A6BE-48D9-B30B-FBDC73937DC5}">
  <sheetPr>
    <tabColor rgb="FF92D050"/>
    <pageSetUpPr fitToPage="1"/>
  </sheetPr>
  <dimension ref="B1:K57"/>
  <sheetViews>
    <sheetView showGridLines="0" workbookViewId="0">
      <selection activeCell="K47" sqref="K47"/>
    </sheetView>
  </sheetViews>
  <sheetFormatPr defaultRowHeight="14.4" x14ac:dyDescent="0.3"/>
  <cols>
    <col min="1" max="1" width="1.88671875" customWidth="1"/>
    <col min="2" max="2" width="22" customWidth="1"/>
    <col min="7" max="7" width="8.44140625" customWidth="1"/>
  </cols>
  <sheetData>
    <row r="1" spans="2:11" ht="15" thickBot="1" x14ac:dyDescent="0.35"/>
    <row r="2" spans="2:11" ht="15" thickTop="1" x14ac:dyDescent="0.3">
      <c r="B2" s="224" t="s">
        <v>221</v>
      </c>
      <c r="C2" s="224"/>
      <c r="D2" s="224"/>
      <c r="E2" s="224"/>
      <c r="F2" s="224"/>
      <c r="G2" s="224"/>
      <c r="H2" s="224"/>
      <c r="I2" s="224"/>
      <c r="J2" s="82"/>
      <c r="K2" s="82"/>
    </row>
    <row r="3" spans="2:11" x14ac:dyDescent="0.3">
      <c r="B3" s="225"/>
      <c r="C3" s="225"/>
      <c r="D3" s="225"/>
      <c r="E3" s="225"/>
      <c r="F3" s="225"/>
      <c r="G3" s="225"/>
      <c r="H3" s="225"/>
      <c r="I3" s="225"/>
      <c r="J3" s="83"/>
      <c r="K3" s="83"/>
    </row>
    <row r="4" spans="2:11" ht="15" thickBot="1" x14ac:dyDescent="0.35">
      <c r="B4" s="226"/>
      <c r="C4" s="226"/>
      <c r="D4" s="226"/>
      <c r="E4" s="226"/>
      <c r="F4" s="226"/>
      <c r="G4" s="226"/>
      <c r="H4" s="226"/>
      <c r="I4" s="226"/>
      <c r="J4" s="81"/>
      <c r="K4" s="81"/>
    </row>
    <row r="5" spans="2:11" ht="15" thickTop="1" x14ac:dyDescent="0.3"/>
    <row r="6" spans="2:11" x14ac:dyDescent="0.3">
      <c r="B6" s="87" t="s">
        <v>333</v>
      </c>
      <c r="C6" s="87"/>
      <c r="D6" s="87"/>
      <c r="E6" s="87"/>
      <c r="F6" s="87">
        <v>2021</v>
      </c>
      <c r="G6" s="87">
        <v>2022</v>
      </c>
      <c r="H6" s="87">
        <v>2023</v>
      </c>
      <c r="I6" s="87">
        <v>2024</v>
      </c>
      <c r="J6" s="87">
        <v>2025</v>
      </c>
      <c r="K6" s="87">
        <v>2026</v>
      </c>
    </row>
    <row r="8" spans="2:11" x14ac:dyDescent="0.3">
      <c r="B8" s="96" t="s">
        <v>334</v>
      </c>
    </row>
    <row r="9" spans="2:11" x14ac:dyDescent="0.3">
      <c r="B9" s="144" t="s">
        <v>50</v>
      </c>
      <c r="C9" s="144"/>
      <c r="D9" s="144"/>
      <c r="E9" s="144"/>
      <c r="F9" s="158">
        <f>'Balance Sheet'!B18</f>
        <v>9717.5300000000007</v>
      </c>
      <c r="G9" s="158">
        <f>'Balance Sheet'!C18</f>
        <v>17810.07</v>
      </c>
      <c r="H9" s="158">
        <f>'Balance Sheet'!D18</f>
        <v>16956.37</v>
      </c>
      <c r="I9" s="158">
        <f>'Balance Sheet'!E18</f>
        <v>14045.67</v>
      </c>
      <c r="J9" s="158">
        <f>'Balance Sheet'!F18</f>
        <v>15016.63</v>
      </c>
      <c r="K9" s="158">
        <f>'Balance Sheet'!G18</f>
        <v>19296.57</v>
      </c>
    </row>
    <row r="10" spans="2:11" x14ac:dyDescent="0.3">
      <c r="B10" s="144" t="s">
        <v>51</v>
      </c>
      <c r="C10" s="144"/>
      <c r="D10" s="144"/>
      <c r="E10" s="144"/>
      <c r="F10" s="158">
        <f>'Balance Sheet'!B20</f>
        <v>4000.29</v>
      </c>
      <c r="G10" s="158">
        <f>'Balance Sheet'!C20</f>
        <v>5282.95</v>
      </c>
      <c r="H10" s="158">
        <f>'Balance Sheet'!D20</f>
        <v>4741.5600000000004</v>
      </c>
      <c r="I10" s="158">
        <f>'Balance Sheet'!E20</f>
        <v>4770.8100000000004</v>
      </c>
      <c r="J10" s="158">
        <f>'Balance Sheet'!F20</f>
        <v>6099.88</v>
      </c>
      <c r="K10" s="158">
        <f>'Balance Sheet'!G20</f>
        <v>5760.91</v>
      </c>
    </row>
    <row r="11" spans="2:11" x14ac:dyDescent="0.3">
      <c r="B11" s="61" t="s">
        <v>55</v>
      </c>
      <c r="C11" s="61"/>
      <c r="D11" s="61"/>
      <c r="E11" s="61"/>
      <c r="F11" s="159">
        <f>'Balance Sheet'!B24</f>
        <v>2306.33</v>
      </c>
      <c r="G11" s="159">
        <f>'Balance Sheet'!C24</f>
        <v>4618.8900000000003</v>
      </c>
      <c r="H11" s="159">
        <f>'Balance Sheet'!D24</f>
        <v>5669.81</v>
      </c>
      <c r="I11" s="159">
        <f>'Balance Sheet'!E24</f>
        <v>4548.34</v>
      </c>
      <c r="J11" s="159">
        <f>'Balance Sheet'!F24</f>
        <v>4959.6099999999997</v>
      </c>
      <c r="K11" s="159">
        <f>'Balance Sheet'!G24</f>
        <v>9322.4599999999991</v>
      </c>
    </row>
    <row r="12" spans="2:11" x14ac:dyDescent="0.3">
      <c r="B12" s="163" t="s">
        <v>335</v>
      </c>
      <c r="C12" s="163"/>
      <c r="D12" s="163"/>
      <c r="E12" s="163"/>
      <c r="F12" s="164">
        <f>SUM(F9:F11)</f>
        <v>16024.15</v>
      </c>
      <c r="G12" s="164">
        <f t="shared" ref="G12:K12" si="0">SUM(G9:G11)</f>
        <v>27711.91</v>
      </c>
      <c r="H12" s="164">
        <f t="shared" si="0"/>
        <v>27367.74</v>
      </c>
      <c r="I12" s="164">
        <f t="shared" si="0"/>
        <v>23364.82</v>
      </c>
      <c r="J12" s="164">
        <f t="shared" si="0"/>
        <v>26076.12</v>
      </c>
      <c r="K12" s="164">
        <f t="shared" si="0"/>
        <v>34379.94</v>
      </c>
    </row>
    <row r="14" spans="2:11" x14ac:dyDescent="0.3">
      <c r="B14" s="96" t="s">
        <v>336</v>
      </c>
    </row>
    <row r="15" spans="2:11" x14ac:dyDescent="0.3">
      <c r="B15" s="144" t="s">
        <v>72</v>
      </c>
      <c r="C15" s="144"/>
      <c r="D15" s="144"/>
      <c r="E15" s="144"/>
      <c r="F15" s="158">
        <f>'Balance Sheet'!B43</f>
        <v>774.79</v>
      </c>
      <c r="G15" s="158">
        <f>'Balance Sheet'!C43</f>
        <v>2488.83</v>
      </c>
      <c r="H15" s="158">
        <f>'Balance Sheet'!D43</f>
        <v>1659.36</v>
      </c>
      <c r="I15" s="158">
        <f>'Balance Sheet'!E43</f>
        <v>2383.9</v>
      </c>
      <c r="J15" s="158">
        <f>'Balance Sheet'!F43</f>
        <v>3458.73</v>
      </c>
      <c r="K15" s="158">
        <f>'Balance Sheet'!G43</f>
        <v>3705.41</v>
      </c>
    </row>
    <row r="16" spans="2:11" x14ac:dyDescent="0.3">
      <c r="B16" s="144" t="s">
        <v>73</v>
      </c>
      <c r="C16" s="144"/>
      <c r="D16" s="144"/>
      <c r="E16" s="144"/>
      <c r="F16" s="158">
        <f>'Balance Sheet'!B44</f>
        <v>6880.6</v>
      </c>
      <c r="G16" s="158">
        <f>'Balance Sheet'!C44</f>
        <v>4722.8</v>
      </c>
      <c r="H16" s="158">
        <f>'Balance Sheet'!D44</f>
        <v>4388.55</v>
      </c>
      <c r="I16" s="158">
        <f>'Balance Sheet'!E44</f>
        <v>4488.53</v>
      </c>
      <c r="J16" s="158">
        <f>'Balance Sheet'!F44</f>
        <v>4450.9399999999996</v>
      </c>
      <c r="K16" s="158">
        <f>'Balance Sheet'!G44</f>
        <v>5939</v>
      </c>
    </row>
    <row r="17" spans="2:11" x14ac:dyDescent="0.3">
      <c r="B17" s="61" t="s">
        <v>75</v>
      </c>
      <c r="C17" s="61"/>
      <c r="D17" s="61"/>
      <c r="E17" s="61"/>
      <c r="F17" s="159">
        <f>'Balance Sheet'!B46</f>
        <v>4722.1400000000003</v>
      </c>
      <c r="G17" s="159">
        <f>'Balance Sheet'!C46</f>
        <v>3095.98</v>
      </c>
      <c r="H17" s="159">
        <f>'Balance Sheet'!D46</f>
        <v>2876.28</v>
      </c>
      <c r="I17" s="159">
        <f>'Balance Sheet'!E46</f>
        <v>2801</v>
      </c>
      <c r="J17" s="159">
        <f>'Balance Sheet'!F46</f>
        <v>3439.08</v>
      </c>
      <c r="K17" s="159">
        <f>'Balance Sheet'!G46</f>
        <v>4549.33</v>
      </c>
    </row>
    <row r="18" spans="2:11" x14ac:dyDescent="0.3">
      <c r="B18" s="163" t="s">
        <v>337</v>
      </c>
      <c r="C18" s="163"/>
      <c r="D18" s="163"/>
      <c r="E18" s="163"/>
      <c r="F18" s="164">
        <f>SUM(F15:F17)</f>
        <v>12377.53</v>
      </c>
      <c r="G18" s="164">
        <f t="shared" ref="G18:K18" si="1">SUM(G15:G17)</f>
        <v>10307.61</v>
      </c>
      <c r="H18" s="164">
        <f t="shared" si="1"/>
        <v>8924.19</v>
      </c>
      <c r="I18" s="164">
        <f t="shared" si="1"/>
        <v>9673.43</v>
      </c>
      <c r="J18" s="164">
        <f t="shared" si="1"/>
        <v>11348.75</v>
      </c>
      <c r="K18" s="164">
        <f t="shared" si="1"/>
        <v>14193.74</v>
      </c>
    </row>
    <row r="19" spans="2:11" ht="15" thickBot="1" x14ac:dyDescent="0.35"/>
    <row r="20" spans="2:11" ht="15" thickBot="1" x14ac:dyDescent="0.35">
      <c r="B20" s="160" t="s">
        <v>338</v>
      </c>
      <c r="C20" s="160"/>
      <c r="D20" s="160"/>
      <c r="E20" s="160"/>
      <c r="F20" s="161">
        <f>F12-F18</f>
        <v>3646.619999999999</v>
      </c>
      <c r="G20" s="161">
        <f t="shared" ref="G20:K20" si="2">G12-G18</f>
        <v>17404.3</v>
      </c>
      <c r="H20" s="161">
        <f t="shared" si="2"/>
        <v>18443.550000000003</v>
      </c>
      <c r="I20" s="161">
        <f t="shared" si="2"/>
        <v>13691.39</v>
      </c>
      <c r="J20" s="161">
        <f t="shared" si="2"/>
        <v>14727.369999999999</v>
      </c>
      <c r="K20" s="161">
        <f t="shared" si="2"/>
        <v>20186.200000000004</v>
      </c>
    </row>
    <row r="21" spans="2:11" ht="15" thickTop="1" x14ac:dyDescent="0.3"/>
    <row r="22" spans="2:11" x14ac:dyDescent="0.3">
      <c r="B22" s="96" t="s">
        <v>339</v>
      </c>
    </row>
    <row r="23" spans="2:11" x14ac:dyDescent="0.3">
      <c r="B23" s="144" t="s">
        <v>39</v>
      </c>
      <c r="C23" s="144"/>
      <c r="D23" s="144"/>
      <c r="E23" s="144"/>
      <c r="F23" s="158">
        <f>'Balance Sheet'!B7</f>
        <v>3891.85</v>
      </c>
      <c r="G23" s="158">
        <f>'Balance Sheet'!C7</f>
        <v>5162.0600000000004</v>
      </c>
      <c r="H23" s="158">
        <f>'Balance Sheet'!D7</f>
        <v>6601.99</v>
      </c>
      <c r="I23" s="158">
        <f>'Balance Sheet'!E7</f>
        <v>7195.46</v>
      </c>
      <c r="J23" s="158">
        <f>'Balance Sheet'!F7</f>
        <v>8432.0400000000009</v>
      </c>
      <c r="K23" s="158">
        <f>'Balance Sheet'!G7</f>
        <v>11997.55</v>
      </c>
    </row>
    <row r="24" spans="2:11" x14ac:dyDescent="0.3">
      <c r="B24" s="144" t="s">
        <v>40</v>
      </c>
      <c r="C24" s="144"/>
      <c r="D24" s="144"/>
      <c r="E24" s="144"/>
      <c r="F24" s="158">
        <f>'Balance Sheet'!B8</f>
        <v>277.98</v>
      </c>
      <c r="G24" s="158">
        <f>'Balance Sheet'!C8</f>
        <v>323.11</v>
      </c>
      <c r="H24" s="158">
        <f>'Balance Sheet'!D8</f>
        <v>215.95</v>
      </c>
      <c r="I24" s="158">
        <f>'Balance Sheet'!E8</f>
        <v>1188.22</v>
      </c>
      <c r="J24" s="158">
        <f>'Balance Sheet'!F8</f>
        <v>2245.13</v>
      </c>
      <c r="K24" s="158">
        <f>'Balance Sheet'!G8</f>
        <v>1194.98</v>
      </c>
    </row>
    <row r="25" spans="2:11" x14ac:dyDescent="0.3">
      <c r="B25" s="61" t="s">
        <v>41</v>
      </c>
      <c r="C25" s="61"/>
      <c r="D25" s="61"/>
      <c r="E25" s="61"/>
      <c r="F25" s="159">
        <f>'Balance Sheet'!B9</f>
        <v>9.49</v>
      </c>
      <c r="G25" s="159">
        <f>'Balance Sheet'!C9</f>
        <v>17.190000000000001</v>
      </c>
      <c r="H25" s="159">
        <f>'Balance Sheet'!D9</f>
        <v>15.28</v>
      </c>
      <c r="I25" s="159">
        <f>'Balance Sheet'!E9</f>
        <v>11.87</v>
      </c>
      <c r="J25" s="159">
        <f>'Balance Sheet'!F9</f>
        <v>45.98</v>
      </c>
      <c r="K25" s="159">
        <f>'Balance Sheet'!G9</f>
        <v>68.94</v>
      </c>
    </row>
    <row r="26" spans="2:11" x14ac:dyDescent="0.3">
      <c r="B26" s="163" t="s">
        <v>340</v>
      </c>
      <c r="C26" s="163"/>
      <c r="D26" s="163"/>
      <c r="E26" s="163"/>
      <c r="F26" s="164">
        <f>SUM(F23:F25)</f>
        <v>4179.32</v>
      </c>
      <c r="G26" s="164">
        <f t="shared" ref="G26:K26" si="3">SUM(G23:G25)</f>
        <v>5502.36</v>
      </c>
      <c r="H26" s="164">
        <f t="shared" si="3"/>
        <v>6833.2199999999993</v>
      </c>
      <c r="I26" s="164">
        <f t="shared" si="3"/>
        <v>8395.5500000000011</v>
      </c>
      <c r="J26" s="164">
        <f t="shared" si="3"/>
        <v>10723.150000000001</v>
      </c>
      <c r="K26" s="164">
        <f t="shared" si="3"/>
        <v>13261.47</v>
      </c>
    </row>
    <row r="28" spans="2:11" x14ac:dyDescent="0.3">
      <c r="B28" s="143" t="s">
        <v>341</v>
      </c>
      <c r="C28" s="143"/>
      <c r="D28" s="143"/>
      <c r="E28" s="143"/>
      <c r="F28" s="165">
        <f t="shared" ref="F28:K28" si="4">F26+F20</f>
        <v>7825.9399999999987</v>
      </c>
      <c r="G28" s="165">
        <f t="shared" si="4"/>
        <v>22906.66</v>
      </c>
      <c r="H28" s="165">
        <f t="shared" si="4"/>
        <v>25276.770000000004</v>
      </c>
      <c r="I28" s="165">
        <f t="shared" si="4"/>
        <v>22086.940000000002</v>
      </c>
      <c r="J28" s="165">
        <f t="shared" si="4"/>
        <v>25450.52</v>
      </c>
      <c r="K28" s="165">
        <f t="shared" si="4"/>
        <v>33447.670000000006</v>
      </c>
    </row>
    <row r="29" spans="2:11" x14ac:dyDescent="0.3">
      <c r="B29" s="144" t="s">
        <v>342</v>
      </c>
      <c r="C29" s="144"/>
      <c r="D29" s="144"/>
      <c r="E29" s="144"/>
      <c r="F29" s="158">
        <f>HistoricalFS!C33+HistoricalFS!C24</f>
        <v>11279.760000000004</v>
      </c>
      <c r="G29" s="158">
        <f>HistoricalFS!D33+HistoricalFS!D24</f>
        <v>11896.340000000007</v>
      </c>
      <c r="H29" s="158">
        <f>HistoricalFS!E33+HistoricalFS!E24</f>
        <v>13177.409999999994</v>
      </c>
      <c r="I29" s="158">
        <f>HistoricalFS!F33+HistoricalFS!F24</f>
        <v>15209.93</v>
      </c>
      <c r="J29" s="158">
        <f>HistoricalFS!G33+HistoricalFS!G24</f>
        <v>15777.609999999997</v>
      </c>
      <c r="K29" s="158">
        <f>HistoricalFS!H33+HistoricalFS!H24</f>
        <v>18014.55999999999</v>
      </c>
    </row>
    <row r="30" spans="2:11" x14ac:dyDescent="0.3">
      <c r="B30" s="172" t="s">
        <v>343</v>
      </c>
      <c r="C30" s="172"/>
      <c r="D30" s="172"/>
      <c r="E30" s="172"/>
      <c r="F30" s="173">
        <v>0.25</v>
      </c>
      <c r="G30" s="173">
        <v>0.25</v>
      </c>
      <c r="H30" s="173">
        <v>0.25</v>
      </c>
      <c r="I30" s="173">
        <v>0.25</v>
      </c>
      <c r="J30" s="173">
        <v>0.25</v>
      </c>
      <c r="K30" s="173">
        <v>0.25</v>
      </c>
    </row>
    <row r="31" spans="2:11" x14ac:dyDescent="0.3">
      <c r="B31" s="169" t="s">
        <v>344</v>
      </c>
      <c r="C31" s="169"/>
      <c r="D31" s="169"/>
      <c r="E31" s="169"/>
      <c r="F31" s="170">
        <f>F29*(1-F30)</f>
        <v>8459.8200000000033</v>
      </c>
      <c r="G31" s="170">
        <f t="shared" ref="G31:K31" si="5">G29*(1-G30)</f>
        <v>8922.2550000000047</v>
      </c>
      <c r="H31" s="170">
        <f t="shared" si="5"/>
        <v>9883.0574999999953</v>
      </c>
      <c r="I31" s="170">
        <f t="shared" si="5"/>
        <v>11407.4475</v>
      </c>
      <c r="J31" s="170">
        <f t="shared" si="5"/>
        <v>11833.207499999997</v>
      </c>
      <c r="K31" s="170">
        <f t="shared" si="5"/>
        <v>13510.919999999993</v>
      </c>
    </row>
    <row r="32" spans="2:11" ht="3" customHeight="1" thickBot="1" x14ac:dyDescent="0.35"/>
    <row r="33" spans="2:11" ht="15" thickBot="1" x14ac:dyDescent="0.35">
      <c r="B33" s="160" t="s">
        <v>345</v>
      </c>
      <c r="C33" s="160"/>
      <c r="D33" s="160"/>
      <c r="E33" s="160"/>
      <c r="F33" s="162">
        <f>F31/F28</f>
        <v>1.0809972987270544</v>
      </c>
      <c r="G33" s="162">
        <f t="shared" ref="G33:K33" si="6">G31/G28</f>
        <v>0.38950484269640379</v>
      </c>
      <c r="H33" s="162">
        <f t="shared" si="6"/>
        <v>0.39099368708897514</v>
      </c>
      <c r="I33" s="162">
        <f t="shared" si="6"/>
        <v>0.51647930858688429</v>
      </c>
      <c r="J33" s="162">
        <f t="shared" si="6"/>
        <v>0.46494953737683931</v>
      </c>
      <c r="K33" s="162">
        <f t="shared" si="6"/>
        <v>0.40394203841403575</v>
      </c>
    </row>
    <row r="34" spans="2:11" ht="15" thickTop="1" x14ac:dyDescent="0.3">
      <c r="B34" s="96"/>
      <c r="C34" s="96"/>
      <c r="D34" s="96"/>
      <c r="E34" s="96"/>
      <c r="F34" s="166"/>
      <c r="G34" s="166"/>
      <c r="H34" s="166"/>
      <c r="I34" s="166"/>
      <c r="J34" s="166"/>
      <c r="K34" s="166"/>
    </row>
    <row r="36" spans="2:11" x14ac:dyDescent="0.3">
      <c r="B36" s="87" t="s">
        <v>346</v>
      </c>
      <c r="C36" s="87"/>
      <c r="D36" s="87"/>
      <c r="E36" s="87"/>
      <c r="F36" s="87">
        <v>2021</v>
      </c>
      <c r="G36" s="87">
        <v>2022</v>
      </c>
      <c r="H36" s="87">
        <v>2023</v>
      </c>
      <c r="I36" s="87">
        <v>2024</v>
      </c>
      <c r="J36" s="87">
        <v>2025</v>
      </c>
      <c r="K36" s="87">
        <v>2026</v>
      </c>
    </row>
    <row r="38" spans="2:11" x14ac:dyDescent="0.3">
      <c r="B38" s="144" t="s">
        <v>347</v>
      </c>
      <c r="C38" s="144"/>
      <c r="D38" s="144"/>
      <c r="E38" s="144"/>
      <c r="F38" s="158">
        <f>-SUM('Cash Flow'!B32:B33)-HistoricalFS!C27</f>
        <v>855.53000000000009</v>
      </c>
      <c r="G38" s="158">
        <f>-SUM('Cash Flow'!C32:C33)-HistoricalFS!D27</f>
        <v>1323.83</v>
      </c>
      <c r="H38" s="158">
        <f>-SUM('Cash Flow'!D32:D33)-HistoricalFS!E27</f>
        <v>1231.1199999999999</v>
      </c>
      <c r="I38" s="158">
        <f>-SUM('Cash Flow'!E32:E33)-HistoricalFS!F27</f>
        <v>1693.8500000000004</v>
      </c>
      <c r="J38" s="158">
        <f>-SUM('Cash Flow'!F32:F33)-HistoricalFS!G27</f>
        <v>2235.66</v>
      </c>
      <c r="K38" s="158">
        <f>-SUM('Cash Flow'!G32:G33)-HistoricalFS!H27</f>
        <v>2552</v>
      </c>
    </row>
    <row r="39" spans="2:11" x14ac:dyDescent="0.3">
      <c r="B39" s="144" t="s">
        <v>348</v>
      </c>
      <c r="C39" s="144"/>
      <c r="D39" s="144"/>
      <c r="E39" s="144"/>
      <c r="F39" s="144"/>
      <c r="G39" s="158">
        <f>G20-F20</f>
        <v>13757.68</v>
      </c>
      <c r="H39" s="158">
        <f t="shared" ref="H39:K39" si="7">H20-G20</f>
        <v>1039.2500000000036</v>
      </c>
      <c r="I39" s="158">
        <f>I20-H20</f>
        <v>-4752.1600000000035</v>
      </c>
      <c r="J39" s="158">
        <f t="shared" si="7"/>
        <v>1035.9799999999996</v>
      </c>
      <c r="K39" s="158">
        <f t="shared" si="7"/>
        <v>5458.8300000000054</v>
      </c>
    </row>
    <row r="40" spans="2:11" x14ac:dyDescent="0.3">
      <c r="B40" s="144" t="s">
        <v>344</v>
      </c>
      <c r="C40" s="144"/>
      <c r="D40" s="144"/>
      <c r="E40" s="144"/>
      <c r="F40" s="158">
        <f>F31</f>
        <v>8459.8200000000033</v>
      </c>
      <c r="G40" s="158">
        <f t="shared" ref="G40:K40" si="8">G31</f>
        <v>8922.2550000000047</v>
      </c>
      <c r="H40" s="158">
        <f t="shared" si="8"/>
        <v>9883.0574999999953</v>
      </c>
      <c r="I40" s="158">
        <f t="shared" si="8"/>
        <v>11407.4475</v>
      </c>
      <c r="J40" s="158">
        <f t="shared" si="8"/>
        <v>11833.207499999997</v>
      </c>
      <c r="K40" s="158">
        <f t="shared" si="8"/>
        <v>13510.919999999993</v>
      </c>
    </row>
    <row r="41" spans="2:11" x14ac:dyDescent="0.3">
      <c r="B41" s="144"/>
      <c r="C41" s="144"/>
      <c r="D41" s="144"/>
      <c r="E41" s="144"/>
      <c r="F41" s="144"/>
      <c r="G41" s="144"/>
      <c r="H41" s="144"/>
      <c r="I41" s="144"/>
      <c r="J41" s="144"/>
      <c r="K41" s="144"/>
    </row>
    <row r="42" spans="2:11" x14ac:dyDescent="0.3">
      <c r="B42" s="144" t="s">
        <v>349</v>
      </c>
      <c r="C42" s="144"/>
      <c r="D42" s="144"/>
      <c r="E42" s="144"/>
      <c r="F42" s="144"/>
      <c r="G42" s="158">
        <f>SUM(G38:G39)</f>
        <v>15081.51</v>
      </c>
      <c r="H42" s="158">
        <f t="shared" ref="H42:K42" si="9">SUM(H38:H39)</f>
        <v>2270.3700000000035</v>
      </c>
      <c r="I42" s="158">
        <f t="shared" si="9"/>
        <v>-3058.3100000000031</v>
      </c>
      <c r="J42" s="158">
        <f t="shared" si="9"/>
        <v>3271.6399999999994</v>
      </c>
      <c r="K42" s="158">
        <f t="shared" si="9"/>
        <v>8010.8300000000054</v>
      </c>
    </row>
    <row r="43" spans="2:11" ht="3.6" customHeight="1" thickBot="1" x14ac:dyDescent="0.35">
      <c r="B43" s="61"/>
      <c r="C43" s="61"/>
      <c r="D43" s="61"/>
      <c r="E43" s="61"/>
      <c r="F43" s="61"/>
      <c r="G43" s="159"/>
      <c r="H43" s="159"/>
      <c r="I43" s="159"/>
      <c r="J43" s="159"/>
      <c r="K43" s="159"/>
    </row>
    <row r="44" spans="2:11" x14ac:dyDescent="0.3">
      <c r="B44" s="113" t="s">
        <v>350</v>
      </c>
      <c r="C44" s="113"/>
      <c r="D44" s="113"/>
      <c r="E44" s="113"/>
      <c r="F44" s="113"/>
      <c r="G44" s="167">
        <f>G42/G40</f>
        <v>1.6903249234638544</v>
      </c>
      <c r="H44" s="167">
        <f t="shared" ref="H44:K44" si="10">H42/H40</f>
        <v>0.22972344337772035</v>
      </c>
      <c r="I44" s="167">
        <f t="shared" si="10"/>
        <v>-0.26809766163727716</v>
      </c>
      <c r="J44" s="167">
        <f t="shared" si="10"/>
        <v>0.27647955974743116</v>
      </c>
      <c r="K44" s="167">
        <f t="shared" si="10"/>
        <v>0.59291521228754296</v>
      </c>
    </row>
    <row r="46" spans="2:11" x14ac:dyDescent="0.3">
      <c r="I46" s="104" t="s">
        <v>351</v>
      </c>
      <c r="J46" s="104"/>
      <c r="K46" s="130">
        <f>AVERAGE(G44:K44)</f>
        <v>0.50426909544785437</v>
      </c>
    </row>
    <row r="47" spans="2:11" x14ac:dyDescent="0.3">
      <c r="I47" s="104" t="s">
        <v>352</v>
      </c>
      <c r="J47" s="104"/>
      <c r="K47" s="130">
        <f>MEDIAN(G44:K44)</f>
        <v>0.27647955974743116</v>
      </c>
    </row>
    <row r="49" spans="2:11" x14ac:dyDescent="0.3">
      <c r="B49" s="87" t="s">
        <v>353</v>
      </c>
      <c r="C49" s="87"/>
      <c r="D49" s="87"/>
      <c r="E49" s="87"/>
      <c r="F49" s="87">
        <v>2021</v>
      </c>
      <c r="G49" s="87">
        <v>2022</v>
      </c>
      <c r="H49" s="87">
        <v>2023</v>
      </c>
      <c r="I49" s="87">
        <v>2024</v>
      </c>
      <c r="J49" s="87">
        <v>2025</v>
      </c>
      <c r="K49" s="87">
        <v>2026</v>
      </c>
    </row>
    <row r="51" spans="2:11" x14ac:dyDescent="0.3">
      <c r="B51" s="144" t="s">
        <v>350</v>
      </c>
      <c r="C51" s="144"/>
      <c r="D51" s="144"/>
      <c r="E51" s="144"/>
      <c r="F51" s="144"/>
      <c r="G51" s="168">
        <f>G44</f>
        <v>1.6903249234638544</v>
      </c>
      <c r="H51" s="168">
        <f t="shared" ref="H51:K51" si="11">H44</f>
        <v>0.22972344337772035</v>
      </c>
      <c r="I51" s="168">
        <f t="shared" si="11"/>
        <v>-0.26809766163727716</v>
      </c>
      <c r="J51" s="168">
        <f t="shared" si="11"/>
        <v>0.27647955974743116</v>
      </c>
      <c r="K51" s="168">
        <f t="shared" si="11"/>
        <v>0.59291521228754296</v>
      </c>
    </row>
    <row r="52" spans="2:11" x14ac:dyDescent="0.3">
      <c r="B52" s="144" t="s">
        <v>345</v>
      </c>
      <c r="C52" s="144"/>
      <c r="D52" s="144"/>
      <c r="E52" s="144"/>
      <c r="F52" s="144"/>
      <c r="G52" s="168">
        <f>G33</f>
        <v>0.38950484269640379</v>
      </c>
      <c r="H52" s="168">
        <f t="shared" ref="H52:K52" si="12">H33</f>
        <v>0.39099368708897514</v>
      </c>
      <c r="I52" s="168">
        <f t="shared" si="12"/>
        <v>0.51647930858688429</v>
      </c>
      <c r="J52" s="168">
        <f t="shared" si="12"/>
        <v>0.46494953737683931</v>
      </c>
      <c r="K52" s="168">
        <f t="shared" si="12"/>
        <v>0.40394203841403575</v>
      </c>
    </row>
    <row r="53" spans="2:11" ht="3.6" customHeight="1" thickBot="1" x14ac:dyDescent="0.35"/>
    <row r="54" spans="2:11" x14ac:dyDescent="0.3">
      <c r="B54" s="113" t="s">
        <v>354</v>
      </c>
      <c r="C54" s="113"/>
      <c r="D54" s="113"/>
      <c r="E54" s="113"/>
      <c r="F54" s="113"/>
      <c r="G54" s="171">
        <f>G51*G52</f>
        <v>0.65838974341959944</v>
      </c>
      <c r="H54" s="171">
        <f t="shared" ref="H54:K54" si="13">H51*H52</f>
        <v>8.982041613703029E-2</v>
      </c>
      <c r="I54" s="171">
        <f t="shared" si="13"/>
        <v>-0.13846689491618136</v>
      </c>
      <c r="J54" s="171">
        <f t="shared" si="13"/>
        <v>0.12854904339872031</v>
      </c>
      <c r="K54" s="171">
        <f t="shared" si="13"/>
        <v>0.23950337945812084</v>
      </c>
    </row>
    <row r="56" spans="2:11" x14ac:dyDescent="0.3">
      <c r="I56" s="104" t="s">
        <v>351</v>
      </c>
      <c r="J56" s="104"/>
      <c r="K56" s="130">
        <f>AVERAGE(G54:K54)</f>
        <v>0.19555913749945791</v>
      </c>
    </row>
    <row r="57" spans="2:11" x14ac:dyDescent="0.3">
      <c r="I57" s="104" t="s">
        <v>352</v>
      </c>
      <c r="J57" s="104"/>
      <c r="K57" s="130">
        <f>MEDIAN(G54:K54)</f>
        <v>0.12854904339872031</v>
      </c>
    </row>
  </sheetData>
  <mergeCells count="1">
    <mergeCell ref="B2:I4"/>
  </mergeCells>
  <pageMargins left="0.7" right="0.7" top="0.75" bottom="0.75" header="0.3" footer="0.3"/>
  <pageSetup scale="85" orientation="portrait" r:id="rId1"/>
  <ignoredErrors>
    <ignoredError sqref="F38:K38" formulaRange="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A84FD-4AD2-4916-BFF1-D9C72889074F}">
  <sheetPr>
    <tabColor rgb="FF92D050"/>
    <pageSetUpPr fitToPage="1"/>
  </sheetPr>
  <dimension ref="B1:I43"/>
  <sheetViews>
    <sheetView showGridLines="0" workbookViewId="0">
      <selection activeCell="B2" sqref="B2:L4"/>
    </sheetView>
  </sheetViews>
  <sheetFormatPr defaultRowHeight="14.4" outlineLevelRow="1" x14ac:dyDescent="0.3"/>
  <cols>
    <col min="1" max="1" width="1.88671875" customWidth="1"/>
    <col min="2" max="2" width="22.21875" customWidth="1"/>
    <col min="3" max="3" width="16.88671875" customWidth="1"/>
  </cols>
  <sheetData>
    <row r="1" spans="2:9" ht="15" thickBot="1" x14ac:dyDescent="0.35"/>
    <row r="2" spans="2:9" ht="15" customHeight="1" thickTop="1" x14ac:dyDescent="0.3">
      <c r="B2" s="224" t="s">
        <v>221</v>
      </c>
      <c r="C2" s="224"/>
      <c r="D2" s="224"/>
      <c r="E2" s="224"/>
      <c r="F2" s="224"/>
      <c r="G2" s="224"/>
      <c r="H2" s="224"/>
      <c r="I2" s="76"/>
    </row>
    <row r="3" spans="2:9" ht="14.4" customHeight="1" x14ac:dyDescent="0.3">
      <c r="B3" s="225"/>
      <c r="C3" s="225"/>
      <c r="D3" s="225"/>
      <c r="E3" s="225"/>
      <c r="F3" s="225"/>
      <c r="G3" s="225"/>
      <c r="H3" s="225"/>
      <c r="I3" s="77"/>
    </row>
    <row r="4" spans="2:9" ht="15" customHeight="1" thickBot="1" x14ac:dyDescent="0.35">
      <c r="B4" s="226"/>
      <c r="C4" s="226"/>
      <c r="D4" s="226"/>
      <c r="E4" s="226"/>
      <c r="F4" s="226"/>
      <c r="G4" s="226"/>
      <c r="H4" s="226"/>
      <c r="I4" s="78"/>
    </row>
    <row r="5" spans="2:9" ht="15" thickTop="1" x14ac:dyDescent="0.3">
      <c r="H5" s="234" t="s">
        <v>173</v>
      </c>
      <c r="I5" s="234"/>
    </row>
    <row r="6" spans="2:9" x14ac:dyDescent="0.3">
      <c r="B6" s="87" t="s">
        <v>355</v>
      </c>
      <c r="C6" s="88"/>
      <c r="D6" s="175">
        <v>2026</v>
      </c>
      <c r="E6" s="174">
        <f>D6+1</f>
        <v>2027</v>
      </c>
      <c r="F6" s="174">
        <f t="shared" ref="F6:I6" si="0">E6+1</f>
        <v>2028</v>
      </c>
      <c r="G6" s="174">
        <f t="shared" si="0"/>
        <v>2029</v>
      </c>
      <c r="H6" s="174">
        <f t="shared" si="0"/>
        <v>2030</v>
      </c>
      <c r="I6" s="174">
        <f t="shared" si="0"/>
        <v>2031</v>
      </c>
    </row>
    <row r="8" spans="2:9" x14ac:dyDescent="0.3">
      <c r="B8" s="144" t="s">
        <v>342</v>
      </c>
      <c r="C8" s="144"/>
      <c r="D8" s="188">
        <f>HistoricalFS!H33+HistoricalFS!H24</f>
        <v>18014.55999999999</v>
      </c>
      <c r="E8" s="187">
        <f>D8*(1+$C$18)</f>
        <v>20330.314455248837</v>
      </c>
      <c r="F8" s="187">
        <f>E8*(1+$C$18)</f>
        <v>22943.75693046625</v>
      </c>
      <c r="G8" s="187">
        <f>F8*(1+$C$18)</f>
        <v>25893.154935850442</v>
      </c>
      <c r="H8" s="187">
        <f>G8*(1+$C$18)</f>
        <v>29221.695233428865</v>
      </c>
      <c r="I8" s="187">
        <f>H8*(1+$C$18)</f>
        <v>32978.116202175086</v>
      </c>
    </row>
    <row r="9" spans="2:9" x14ac:dyDescent="0.3">
      <c r="B9" s="144" t="s">
        <v>237</v>
      </c>
      <c r="C9" s="144"/>
      <c r="D9" s="179">
        <v>0.25</v>
      </c>
      <c r="E9" s="177">
        <v>0.25</v>
      </c>
      <c r="F9" s="177">
        <v>0.25</v>
      </c>
      <c r="G9" s="177">
        <v>0.25</v>
      </c>
      <c r="H9" s="177">
        <v>0.25</v>
      </c>
      <c r="I9" s="177">
        <v>0.25</v>
      </c>
    </row>
    <row r="10" spans="2:9" x14ac:dyDescent="0.3">
      <c r="B10" s="144" t="s">
        <v>357</v>
      </c>
      <c r="C10" s="144"/>
      <c r="D10" s="188">
        <f t="shared" ref="D10:I10" si="1">D8*(1-D9)</f>
        <v>13510.919999999993</v>
      </c>
      <c r="E10" s="187">
        <f t="shared" si="1"/>
        <v>15247.735841436628</v>
      </c>
      <c r="F10" s="187">
        <f t="shared" si="1"/>
        <v>17207.817697849689</v>
      </c>
      <c r="G10" s="187">
        <f t="shared" si="1"/>
        <v>19419.866201887831</v>
      </c>
      <c r="H10" s="187">
        <f t="shared" si="1"/>
        <v>21916.271425071649</v>
      </c>
      <c r="I10" s="187">
        <f t="shared" si="1"/>
        <v>24733.587151631313</v>
      </c>
    </row>
    <row r="11" spans="2:9" x14ac:dyDescent="0.3">
      <c r="B11" s="144" t="s">
        <v>356</v>
      </c>
      <c r="C11" s="144"/>
      <c r="D11" s="180">
        <f>'Intrinsic Growth'!K47</f>
        <v>0.27647955974743116</v>
      </c>
      <c r="E11" s="168">
        <f>D11</f>
        <v>0.27647955974743116</v>
      </c>
      <c r="F11" s="168">
        <f t="shared" ref="F11:I11" si="2">E11</f>
        <v>0.27647955974743116</v>
      </c>
      <c r="G11" s="168">
        <f t="shared" si="2"/>
        <v>0.27647955974743116</v>
      </c>
      <c r="H11" s="168">
        <f t="shared" si="2"/>
        <v>0.27647955974743116</v>
      </c>
      <c r="I11" s="168">
        <f t="shared" si="2"/>
        <v>0.27647955974743116</v>
      </c>
    </row>
    <row r="12" spans="2:9" x14ac:dyDescent="0.3">
      <c r="B12" s="144" t="s">
        <v>363</v>
      </c>
      <c r="C12" s="144"/>
      <c r="D12" s="188">
        <f t="shared" ref="D12:I12" si="3">D10*(1-D11)</f>
        <v>9775.4267866172322</v>
      </c>
      <c r="E12" s="187">
        <f t="shared" si="3"/>
        <v>11032.048548851102</v>
      </c>
      <c r="F12" s="187">
        <f t="shared" si="3"/>
        <v>12450.207836534151</v>
      </c>
      <c r="G12" s="187">
        <f t="shared" si="3"/>
        <v>14050.670144035865</v>
      </c>
      <c r="H12" s="187">
        <f t="shared" si="3"/>
        <v>15856.870350162633</v>
      </c>
      <c r="I12" s="187">
        <f t="shared" si="3"/>
        <v>17895.255864973566</v>
      </c>
    </row>
    <row r="13" spans="2:9" x14ac:dyDescent="0.3">
      <c r="B13" s="144" t="s">
        <v>358</v>
      </c>
      <c r="C13" s="144"/>
      <c r="D13" s="181"/>
      <c r="E13" s="178">
        <v>0.5</v>
      </c>
      <c r="F13" s="144">
        <f>E13+1</f>
        <v>1.5</v>
      </c>
      <c r="G13" s="144">
        <f t="shared" ref="G13:I13" si="4">F13+1</f>
        <v>2.5</v>
      </c>
      <c r="H13" s="144">
        <f t="shared" si="4"/>
        <v>3.5</v>
      </c>
      <c r="I13" s="144">
        <f t="shared" si="4"/>
        <v>4.5</v>
      </c>
    </row>
    <row r="14" spans="2:9" x14ac:dyDescent="0.3">
      <c r="B14" s="144" t="s">
        <v>359</v>
      </c>
      <c r="C14" s="144"/>
      <c r="D14" s="181"/>
      <c r="E14" s="184">
        <f>1/(1+$C$20)^E13</f>
        <v>0.9214035622425264</v>
      </c>
      <c r="F14" s="184">
        <f>1/(1+$C$20)^F13</f>
        <v>0.7822573651752559</v>
      </c>
      <c r="G14" s="184">
        <f>1/(1+$C$20)^G13</f>
        <v>0.66412439722027694</v>
      </c>
      <c r="H14" s="184">
        <f>1/(1+$C$20)^H13</f>
        <v>0.56383133559168386</v>
      </c>
      <c r="I14" s="184">
        <f>1/(1+$C$20)^I13</f>
        <v>0.47868407835295801</v>
      </c>
    </row>
    <row r="15" spans="2:9" ht="3.6" customHeight="1" x14ac:dyDescent="0.3">
      <c r="D15" s="182"/>
    </row>
    <row r="16" spans="2:9" ht="15" thickBot="1" x14ac:dyDescent="0.35">
      <c r="B16" s="176" t="s">
        <v>360</v>
      </c>
      <c r="C16" s="176"/>
      <c r="D16" s="183"/>
      <c r="E16" s="186">
        <f>E12*E14</f>
        <v>10164.968831743899</v>
      </c>
      <c r="F16" s="186">
        <f t="shared" ref="F16:I16" si="5">F12*F14</f>
        <v>9739.266778091529</v>
      </c>
      <c r="G16" s="186">
        <f t="shared" si="5"/>
        <v>9331.3928399487613</v>
      </c>
      <c r="H16" s="186">
        <f>H12*H14</f>
        <v>8940.6003878363699</v>
      </c>
      <c r="I16" s="186">
        <f t="shared" si="5"/>
        <v>8566.174060615238</v>
      </c>
    </row>
    <row r="18" spans="2:3" outlineLevel="1" x14ac:dyDescent="0.3">
      <c r="B18" s="199" t="s">
        <v>361</v>
      </c>
      <c r="C18" s="200">
        <f>'Intrinsic Growth'!K57</f>
        <v>0.12854904339872031</v>
      </c>
    </row>
    <row r="19" spans="2:3" outlineLevel="1" x14ac:dyDescent="0.3">
      <c r="B19" s="199" t="s">
        <v>362</v>
      </c>
      <c r="C19" s="201">
        <v>6.5000000000000002E-2</v>
      </c>
    </row>
    <row r="20" spans="2:3" outlineLevel="1" x14ac:dyDescent="0.3">
      <c r="B20" s="199" t="s">
        <v>328</v>
      </c>
      <c r="C20" s="200">
        <f>WACC!J48</f>
        <v>0.17787777176900896</v>
      </c>
    </row>
    <row r="22" spans="2:3" x14ac:dyDescent="0.3">
      <c r="B22" s="87" t="s">
        <v>364</v>
      </c>
      <c r="C22" s="88"/>
    </row>
    <row r="23" spans="2:3" ht="3.6" customHeight="1" x14ac:dyDescent="0.3"/>
    <row r="24" spans="2:3" x14ac:dyDescent="0.3">
      <c r="B24" s="144" t="s">
        <v>365</v>
      </c>
      <c r="C24" s="187">
        <f>I12*(1+C18)</f>
        <v>20195.673887791254</v>
      </c>
    </row>
    <row r="25" spans="2:3" x14ac:dyDescent="0.3">
      <c r="B25" s="144" t="s">
        <v>328</v>
      </c>
      <c r="C25" s="168">
        <f>C20</f>
        <v>0.17787777176900896</v>
      </c>
    </row>
    <row r="26" spans="2:3" x14ac:dyDescent="0.3">
      <c r="B26" s="144" t="s">
        <v>366</v>
      </c>
      <c r="C26" s="168">
        <f>C19</f>
        <v>6.5000000000000002E-2</v>
      </c>
    </row>
    <row r="27" spans="2:3" ht="3.6" customHeight="1" x14ac:dyDescent="0.3"/>
    <row r="28" spans="2:3" ht="15" thickBot="1" x14ac:dyDescent="0.35">
      <c r="B28" s="176" t="s">
        <v>367</v>
      </c>
      <c r="C28" s="186">
        <f>C24/(C25-C26)</f>
        <v>178916.30540970739</v>
      </c>
    </row>
    <row r="30" spans="2:3" x14ac:dyDescent="0.3">
      <c r="B30" s="87" t="s">
        <v>371</v>
      </c>
      <c r="C30" s="88"/>
    </row>
    <row r="31" spans="2:3" ht="3.6" customHeight="1" x14ac:dyDescent="0.3"/>
    <row r="32" spans="2:3" x14ac:dyDescent="0.3">
      <c r="B32" s="144" t="s">
        <v>360</v>
      </c>
      <c r="C32" s="187">
        <f>SUM(E16:I16)</f>
        <v>46742.4028982358</v>
      </c>
    </row>
    <row r="33" spans="2:3" x14ac:dyDescent="0.3">
      <c r="B33" s="144" t="s">
        <v>368</v>
      </c>
      <c r="C33" s="187">
        <f>C28*I14</f>
        <v>85644.386757362139</v>
      </c>
    </row>
    <row r="34" spans="2:3" x14ac:dyDescent="0.3">
      <c r="B34" s="191" t="s">
        <v>369</v>
      </c>
      <c r="C34" s="192">
        <f>SUM(C32:C33)</f>
        <v>132386.78965559794</v>
      </c>
    </row>
    <row r="35" spans="2:3" ht="3.6" customHeight="1" x14ac:dyDescent="0.3">
      <c r="C35" s="136"/>
    </row>
    <row r="36" spans="2:3" x14ac:dyDescent="0.3">
      <c r="B36" t="s">
        <v>370</v>
      </c>
      <c r="C36" s="194">
        <f>SUM(HistoricalFS!H66:H67)</f>
        <v>19092.11</v>
      </c>
    </row>
    <row r="37" spans="2:3" x14ac:dyDescent="0.3">
      <c r="B37" s="66" t="s">
        <v>377</v>
      </c>
      <c r="C37" s="193">
        <f>SUM(HistoricalFS!H78,HistoricalFS!H84)</f>
        <v>2938.81</v>
      </c>
    </row>
    <row r="38" spans="2:3" x14ac:dyDescent="0.3">
      <c r="B38" s="143" t="s">
        <v>372</v>
      </c>
      <c r="C38" s="189">
        <f>C34+C36-C37</f>
        <v>148540.08965559793</v>
      </c>
    </row>
    <row r="39" spans="2:3" x14ac:dyDescent="0.3">
      <c r="B39" s="144" t="s">
        <v>373</v>
      </c>
      <c r="C39" s="190">
        <f>HistoricalFS!H42</f>
        <v>52.878149999999998</v>
      </c>
    </row>
    <row r="40" spans="2:3" ht="3.6" customHeight="1" x14ac:dyDescent="0.3"/>
    <row r="41" spans="2:3" ht="15" thickBot="1" x14ac:dyDescent="0.35">
      <c r="B41" s="176" t="s">
        <v>374</v>
      </c>
      <c r="C41" s="185">
        <f>C38/C39</f>
        <v>2809.1014843673224</v>
      </c>
    </row>
    <row r="42" spans="2:3" x14ac:dyDescent="0.3">
      <c r="B42" s="197" t="s">
        <v>375</v>
      </c>
      <c r="C42" s="198">
        <v>8030</v>
      </c>
    </row>
    <row r="43" spans="2:3" x14ac:dyDescent="0.3">
      <c r="B43" s="195" t="s">
        <v>376</v>
      </c>
      <c r="C43" s="196">
        <f>C42/C41</f>
        <v>2.8585652902492238</v>
      </c>
    </row>
  </sheetData>
  <mergeCells count="2">
    <mergeCell ref="B2:H4"/>
    <mergeCell ref="H5:I5"/>
  </mergeCells>
  <pageMargins left="0.7" right="0.7" top="0.75" bottom="0.75" header="0.3" footer="0.3"/>
  <pageSetup scale="95"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4E95E-6676-4C85-BF41-47ED320293DC}">
  <sheetPr>
    <tabColor rgb="FF92D050"/>
    <pageSetUpPr fitToPage="1"/>
  </sheetPr>
  <dimension ref="B1:Q34"/>
  <sheetViews>
    <sheetView showGridLines="0" workbookViewId="0">
      <selection activeCell="S15" sqref="S15"/>
    </sheetView>
  </sheetViews>
  <sheetFormatPr defaultRowHeight="14.4" x14ac:dyDescent="0.3"/>
  <cols>
    <col min="1" max="1" width="1.88671875" customWidth="1"/>
    <col min="2" max="2" width="22.21875" customWidth="1"/>
    <col min="3" max="3" width="13.33203125" customWidth="1"/>
    <col min="4" max="4" width="10.77734375" customWidth="1"/>
    <col min="5" max="5" width="11.88671875" customWidth="1"/>
    <col min="6" max="9" width="10.77734375" customWidth="1"/>
    <col min="10" max="10" width="3.77734375" customWidth="1"/>
    <col min="11" max="13" width="10.77734375" customWidth="1"/>
    <col min="14" max="14" width="3.77734375" customWidth="1"/>
    <col min="15" max="17" width="10.77734375" customWidth="1"/>
  </cols>
  <sheetData>
    <row r="1" spans="2:17" ht="15" thickBot="1" x14ac:dyDescent="0.35"/>
    <row r="2" spans="2:17" ht="15" thickTop="1" x14ac:dyDescent="0.3">
      <c r="B2" s="224" t="s">
        <v>221</v>
      </c>
      <c r="C2" s="224"/>
      <c r="D2" s="224"/>
      <c r="E2" s="224"/>
      <c r="F2" s="224"/>
      <c r="G2" s="224"/>
      <c r="H2" s="224"/>
      <c r="I2" s="224"/>
      <c r="J2" s="82"/>
      <c r="K2" s="82"/>
      <c r="L2" s="82"/>
      <c r="M2" s="82"/>
      <c r="N2" s="82"/>
      <c r="O2" s="82"/>
      <c r="P2" s="82"/>
      <c r="Q2" s="82"/>
    </row>
    <row r="3" spans="2:17" x14ac:dyDescent="0.3">
      <c r="B3" s="225"/>
      <c r="C3" s="225"/>
      <c r="D3" s="225"/>
      <c r="E3" s="225"/>
      <c r="F3" s="225"/>
      <c r="G3" s="225"/>
      <c r="H3" s="225"/>
      <c r="I3" s="225"/>
      <c r="J3" s="83"/>
      <c r="K3" s="83"/>
      <c r="L3" s="83"/>
      <c r="M3" s="83"/>
      <c r="N3" s="83"/>
      <c r="O3" s="83"/>
      <c r="P3" s="83"/>
      <c r="Q3" s="83"/>
    </row>
    <row r="4" spans="2:17" ht="15" thickBot="1" x14ac:dyDescent="0.35">
      <c r="B4" s="226"/>
      <c r="C4" s="226"/>
      <c r="D4" s="226"/>
      <c r="E4" s="226"/>
      <c r="F4" s="226"/>
      <c r="G4" s="226"/>
      <c r="H4" s="226"/>
      <c r="I4" s="226"/>
      <c r="J4" s="81"/>
      <c r="K4" s="81"/>
      <c r="L4" s="81"/>
      <c r="M4" s="81"/>
      <c r="N4" s="81"/>
      <c r="O4" s="81"/>
      <c r="P4" s="81"/>
      <c r="Q4" s="81"/>
    </row>
    <row r="5" spans="2:17" ht="15" thickTop="1" x14ac:dyDescent="0.3"/>
    <row r="6" spans="2:17" ht="16.2" thickBot="1" x14ac:dyDescent="0.35">
      <c r="B6" s="215" t="s">
        <v>378</v>
      </c>
      <c r="C6" s="214"/>
      <c r="D6" s="214"/>
      <c r="E6" s="214"/>
      <c r="F6" s="214"/>
      <c r="G6" s="214"/>
      <c r="H6" s="214"/>
      <c r="I6" s="214"/>
      <c r="J6" s="214"/>
      <c r="K6" s="214"/>
      <c r="L6" s="214"/>
      <c r="M6" s="214"/>
      <c r="N6" s="214"/>
      <c r="O6" s="214"/>
      <c r="P6" s="236" t="s">
        <v>413</v>
      </c>
      <c r="Q6" s="236"/>
    </row>
    <row r="7" spans="2:17" ht="3.6" customHeight="1" x14ac:dyDescent="0.3"/>
    <row r="8" spans="2:17" ht="15" thickBot="1" x14ac:dyDescent="0.35">
      <c r="B8" s="87"/>
      <c r="C8" s="87"/>
      <c r="D8" s="235" t="s">
        <v>385</v>
      </c>
      <c r="E8" s="235"/>
      <c r="F8" s="235"/>
      <c r="G8" s="235"/>
      <c r="H8" s="235"/>
      <c r="I8" s="235"/>
      <c r="J8" s="87"/>
      <c r="K8" s="235" t="s">
        <v>387</v>
      </c>
      <c r="L8" s="235"/>
      <c r="M8" s="235"/>
      <c r="N8" s="87"/>
      <c r="O8" s="235" t="s">
        <v>388</v>
      </c>
      <c r="P8" s="235"/>
      <c r="Q8" s="235"/>
    </row>
    <row r="9" spans="2:17" ht="28.8" x14ac:dyDescent="0.3">
      <c r="B9" s="87" t="s">
        <v>121</v>
      </c>
      <c r="C9" s="87" t="s">
        <v>379</v>
      </c>
      <c r="D9" s="202" t="s">
        <v>380</v>
      </c>
      <c r="E9" s="202" t="s">
        <v>381</v>
      </c>
      <c r="F9" s="202" t="s">
        <v>382</v>
      </c>
      <c r="G9" s="202" t="s">
        <v>383</v>
      </c>
      <c r="H9" s="202" t="s">
        <v>384</v>
      </c>
      <c r="I9" s="87"/>
      <c r="J9" s="87"/>
      <c r="K9" s="35" t="s">
        <v>227</v>
      </c>
      <c r="L9" s="35" t="s">
        <v>229</v>
      </c>
      <c r="M9" s="35" t="s">
        <v>386</v>
      </c>
      <c r="N9" s="87"/>
      <c r="O9" s="35" t="s">
        <v>390</v>
      </c>
      <c r="P9" s="35" t="s">
        <v>389</v>
      </c>
      <c r="Q9" s="35" t="s">
        <v>391</v>
      </c>
    </row>
    <row r="10" spans="2:17" ht="3.6" customHeight="1" x14ac:dyDescent="0.3">
      <c r="B10" s="203"/>
      <c r="C10" s="203"/>
      <c r="D10" s="204"/>
      <c r="E10" s="204"/>
      <c r="F10" s="204"/>
      <c r="G10" s="204"/>
      <c r="H10" s="204"/>
      <c r="I10" s="203"/>
      <c r="J10" s="203"/>
      <c r="K10" s="205"/>
      <c r="L10" s="205"/>
      <c r="M10" s="205"/>
      <c r="N10" s="203"/>
      <c r="O10" s="205"/>
      <c r="P10" s="205"/>
      <c r="Q10" s="205"/>
    </row>
    <row r="11" spans="2:17" x14ac:dyDescent="0.3">
      <c r="B11" s="144" t="str">
        <f>'Comps Val Datasheet'!C3</f>
        <v>Cello World</v>
      </c>
      <c r="C11" s="144" t="str">
        <f>'Comps Val Datasheet'!E13</f>
        <v>CELLO</v>
      </c>
      <c r="D11" s="144">
        <f>'Comps Val Datasheet'!D3</f>
        <v>354.5</v>
      </c>
      <c r="E11" s="144">
        <f>'Comps Val Datasheet'!E3</f>
        <v>22.09</v>
      </c>
      <c r="F11" s="158">
        <f>D11*E11</f>
        <v>7830.9049999999997</v>
      </c>
      <c r="G11" s="158">
        <f>'Comps Val Datasheet'!I3</f>
        <v>-89.66</v>
      </c>
      <c r="H11" s="158">
        <f>F11+G11</f>
        <v>7741.2449999999999</v>
      </c>
      <c r="I11" s="144"/>
      <c r="J11" s="144"/>
      <c r="K11" s="158">
        <f>'Comps Val Datasheet'!J3</f>
        <v>2321.41</v>
      </c>
      <c r="L11" s="158">
        <f>'Comps Val Datasheet'!M3</f>
        <v>510.71019999999999</v>
      </c>
      <c r="M11" s="158">
        <f>'Comps Val Datasheet'!K3</f>
        <v>331.51</v>
      </c>
      <c r="N11" s="144"/>
      <c r="O11" s="206">
        <f>H11/K11</f>
        <v>3.3347168315808067</v>
      </c>
      <c r="P11" s="206">
        <f>H11/L11</f>
        <v>15.157803779912758</v>
      </c>
      <c r="Q11" s="206">
        <f>F11/M11</f>
        <v>23.621926940363789</v>
      </c>
    </row>
    <row r="12" spans="2:17" x14ac:dyDescent="0.3">
      <c r="B12" s="207" t="str">
        <f>'Comps Val Datasheet'!C4</f>
        <v>Hawkins Cookers</v>
      </c>
      <c r="C12" s="207" t="str">
        <f>'Comps Val Datasheet'!E14</f>
        <v>HAWKINCOOK</v>
      </c>
      <c r="D12" s="207">
        <f>'Comps Val Datasheet'!D4</f>
        <v>8152.5</v>
      </c>
      <c r="E12" s="207">
        <f>'Comps Val Datasheet'!E4</f>
        <v>0.53</v>
      </c>
      <c r="F12" s="208">
        <f t="shared" ref="F12:F17" si="0">D12*E12</f>
        <v>4320.8249999999998</v>
      </c>
      <c r="G12" s="208">
        <f>'Comps Val Datasheet'!I4</f>
        <v>-161.52999999999997</v>
      </c>
      <c r="H12" s="208">
        <f t="shared" ref="H12:H17" si="1">F12+G12</f>
        <v>4159.2950000000001</v>
      </c>
      <c r="I12" s="207"/>
      <c r="J12" s="207"/>
      <c r="K12" s="208">
        <f>'Comps Val Datasheet'!J4</f>
        <v>1331.98</v>
      </c>
      <c r="L12" s="208">
        <f>'Comps Val Datasheet'!M4</f>
        <v>199.797</v>
      </c>
      <c r="M12" s="208">
        <f>'Comps Val Datasheet'!K4</f>
        <v>131.19</v>
      </c>
      <c r="N12" s="207"/>
      <c r="O12" s="209">
        <f t="shared" ref="O12:O17" si="2">H12/K12</f>
        <v>3.1226407303412964</v>
      </c>
      <c r="P12" s="209">
        <f t="shared" ref="P12:P17" si="3">H12/L12</f>
        <v>20.817604868941977</v>
      </c>
      <c r="Q12" s="209">
        <f t="shared" ref="Q12:Q17" si="4">F12/M12</f>
        <v>32.935627715527097</v>
      </c>
    </row>
    <row r="13" spans="2:17" x14ac:dyDescent="0.3">
      <c r="B13" s="144" t="str">
        <f>'Comps Val Datasheet'!C5</f>
        <v>Borosil</v>
      </c>
      <c r="C13" s="144" t="str">
        <f>'Comps Val Datasheet'!E15</f>
        <v>BOROLTD</v>
      </c>
      <c r="D13" s="144">
        <f>'Comps Val Datasheet'!D5</f>
        <v>261.45</v>
      </c>
      <c r="E13" s="144">
        <f>'Comps Val Datasheet'!E5</f>
        <v>11.96</v>
      </c>
      <c r="F13" s="158">
        <f t="shared" si="0"/>
        <v>3126.942</v>
      </c>
      <c r="G13" s="158">
        <f>'Comps Val Datasheet'!I5</f>
        <v>144.88000000000002</v>
      </c>
      <c r="H13" s="158">
        <f t="shared" si="1"/>
        <v>3271.8220000000001</v>
      </c>
      <c r="I13" s="144"/>
      <c r="J13" s="144"/>
      <c r="K13" s="158">
        <f>'Comps Val Datasheet'!J5</f>
        <v>1216.82</v>
      </c>
      <c r="L13" s="158">
        <f>'Comps Val Datasheet'!M5</f>
        <v>194.69119999999998</v>
      </c>
      <c r="M13" s="158">
        <f>'Comps Val Datasheet'!K5</f>
        <v>74.66</v>
      </c>
      <c r="N13" s="144"/>
      <c r="O13" s="206">
        <f t="shared" si="2"/>
        <v>2.6888299008892034</v>
      </c>
      <c r="P13" s="206">
        <f t="shared" si="3"/>
        <v>16.805186880557521</v>
      </c>
      <c r="Q13" s="206">
        <f t="shared" si="4"/>
        <v>41.882427002410928</v>
      </c>
    </row>
    <row r="14" spans="2:17" x14ac:dyDescent="0.3">
      <c r="B14" s="144" t="str">
        <f>'Comps Val Datasheet'!C6</f>
        <v>All Time Plastic</v>
      </c>
      <c r="C14" s="144" t="str">
        <f>'Comps Val Datasheet'!E16</f>
        <v>ALLTIME</v>
      </c>
      <c r="D14" s="144">
        <f>'Comps Val Datasheet'!D6</f>
        <v>204.62</v>
      </c>
      <c r="E14" s="144">
        <f>'Comps Val Datasheet'!E6</f>
        <v>6.55</v>
      </c>
      <c r="F14" s="158">
        <f t="shared" si="0"/>
        <v>1340.261</v>
      </c>
      <c r="G14" s="158">
        <f>'Comps Val Datasheet'!I6</f>
        <v>-13.929999999999993</v>
      </c>
      <c r="H14" s="158">
        <f t="shared" si="1"/>
        <v>1326.3309999999999</v>
      </c>
      <c r="I14" s="144"/>
      <c r="J14" s="144"/>
      <c r="K14" s="158">
        <f>'Comps Val Datasheet'!J6</f>
        <v>613.5</v>
      </c>
      <c r="L14" s="158">
        <f>'Comps Val Datasheet'!M6</f>
        <v>92.024999999999991</v>
      </c>
      <c r="M14" s="158">
        <f>'Comps Val Datasheet'!K6</f>
        <v>35.6</v>
      </c>
      <c r="N14" s="144"/>
      <c r="O14" s="206">
        <f t="shared" si="2"/>
        <v>2.1619087204563976</v>
      </c>
      <c r="P14" s="206">
        <f t="shared" si="3"/>
        <v>14.412724803042652</v>
      </c>
      <c r="Q14" s="206">
        <f t="shared" si="4"/>
        <v>37.647780898876405</v>
      </c>
    </row>
    <row r="15" spans="2:17" x14ac:dyDescent="0.3">
      <c r="B15" s="144" t="str">
        <f>'Comps Val Datasheet'!C7</f>
        <v>Clay Craft India</v>
      </c>
      <c r="C15" s="144" t="str">
        <f>'Comps Val Datasheet'!E17</f>
        <v>CLAYCRAFT</v>
      </c>
      <c r="D15" s="144">
        <f>'Comps Val Datasheet'!D7</f>
        <v>159.15</v>
      </c>
      <c r="E15" s="144">
        <f>'Comps Val Datasheet'!E7</f>
        <v>2.06</v>
      </c>
      <c r="F15" s="158">
        <f t="shared" si="0"/>
        <v>327.84900000000005</v>
      </c>
      <c r="G15" s="158">
        <f>'Comps Val Datasheet'!I7</f>
        <v>16.75</v>
      </c>
      <c r="H15" s="158">
        <f t="shared" si="1"/>
        <v>344.59900000000005</v>
      </c>
      <c r="I15" s="144"/>
      <c r="J15" s="144"/>
      <c r="K15" s="158">
        <f>'Comps Val Datasheet'!J7</f>
        <v>178.75</v>
      </c>
      <c r="L15" s="158">
        <f>'Comps Val Datasheet'!M7</f>
        <v>46.475000000000001</v>
      </c>
      <c r="M15" s="158">
        <f>'Comps Val Datasheet'!K7</f>
        <v>26.91</v>
      </c>
      <c r="N15" s="144"/>
      <c r="O15" s="206">
        <f t="shared" si="2"/>
        <v>1.9278265734265736</v>
      </c>
      <c r="P15" s="206">
        <f t="shared" si="3"/>
        <v>7.4147175901022067</v>
      </c>
      <c r="Q15" s="206">
        <f t="shared" si="4"/>
        <v>12.183166109253067</v>
      </c>
    </row>
    <row r="16" spans="2:17" x14ac:dyDescent="0.3">
      <c r="B16" s="144" t="str">
        <f>'Comps Val Datasheet'!C8</f>
        <v>Maruti Interior</v>
      </c>
      <c r="C16" s="144" t="str">
        <f>'Comps Val Datasheet'!E18</f>
        <v>SPITZE</v>
      </c>
      <c r="D16" s="144">
        <f>'Comps Val Datasheet'!D8</f>
        <v>31.44</v>
      </c>
      <c r="E16" s="144">
        <f>'Comps Val Datasheet'!E8</f>
        <v>6.04</v>
      </c>
      <c r="F16" s="158">
        <f t="shared" si="0"/>
        <v>189.89760000000001</v>
      </c>
      <c r="G16" s="158">
        <f>'Comps Val Datasheet'!I8</f>
        <v>25.150000000000002</v>
      </c>
      <c r="H16" s="158">
        <f t="shared" si="1"/>
        <v>215.04760000000002</v>
      </c>
      <c r="I16" s="144"/>
      <c r="J16" s="144"/>
      <c r="K16" s="158">
        <f>'Comps Val Datasheet'!J8</f>
        <v>52.68</v>
      </c>
      <c r="L16" s="158">
        <f>'Comps Val Datasheet'!M8</f>
        <v>13.6968</v>
      </c>
      <c r="M16" s="158">
        <f>'Comps Val Datasheet'!K8</f>
        <v>10.44</v>
      </c>
      <c r="N16" s="144"/>
      <c r="O16" s="206">
        <f t="shared" si="2"/>
        <v>4.0821488230827638</v>
      </c>
      <c r="P16" s="206">
        <f t="shared" si="3"/>
        <v>15.70057239647217</v>
      </c>
      <c r="Q16" s="206">
        <f t="shared" si="4"/>
        <v>18.189425287356325</v>
      </c>
    </row>
    <row r="17" spans="2:17" x14ac:dyDescent="0.3">
      <c r="B17" s="144" t="str">
        <f>'Comps Val Datasheet'!C9</f>
        <v>Inflame Applian.</v>
      </c>
      <c r="C17" s="144" t="str">
        <f>'Comps Val Datasheet'!E19</f>
        <v>INFLAME</v>
      </c>
      <c r="D17" s="144">
        <f>'Comps Val Datasheet'!D9</f>
        <v>244.05</v>
      </c>
      <c r="E17" s="144">
        <f>'Comps Val Datasheet'!E9</f>
        <v>0.75</v>
      </c>
      <c r="F17" s="158">
        <f t="shared" si="0"/>
        <v>183.03750000000002</v>
      </c>
      <c r="G17" s="158">
        <f>'Comps Val Datasheet'!I9</f>
        <v>48.4</v>
      </c>
      <c r="H17" s="158">
        <f t="shared" si="1"/>
        <v>231.43750000000003</v>
      </c>
      <c r="I17" s="144"/>
      <c r="J17" s="144"/>
      <c r="K17" s="158">
        <f>'Comps Val Datasheet'!J9</f>
        <v>151.25</v>
      </c>
      <c r="L17" s="158">
        <f>'Comps Val Datasheet'!M9</f>
        <v>19.662500000000001</v>
      </c>
      <c r="M17" s="158">
        <f>'Comps Val Datasheet'!K9</f>
        <v>5.8</v>
      </c>
      <c r="N17" s="144"/>
      <c r="O17" s="206">
        <f t="shared" si="2"/>
        <v>1.5301652892561985</v>
      </c>
      <c r="P17" s="206">
        <f t="shared" si="3"/>
        <v>11.770502225047681</v>
      </c>
      <c r="Q17" s="206">
        <f t="shared" si="4"/>
        <v>31.55818965517242</v>
      </c>
    </row>
    <row r="18" spans="2:17" ht="4.2" customHeight="1" x14ac:dyDescent="0.3"/>
    <row r="19" spans="2:17" x14ac:dyDescent="0.3">
      <c r="B19" s="210" t="s">
        <v>398</v>
      </c>
      <c r="C19" s="210"/>
      <c r="D19" s="210"/>
      <c r="E19" s="210"/>
      <c r="F19" s="210"/>
      <c r="G19" s="210"/>
      <c r="H19" s="210"/>
      <c r="I19" s="210"/>
      <c r="J19" s="210"/>
      <c r="K19" s="210"/>
      <c r="L19" s="210"/>
      <c r="M19" s="210"/>
      <c r="N19" s="210"/>
      <c r="O19" s="211">
        <f>MAX(O11:O17)</f>
        <v>4.0821488230827638</v>
      </c>
      <c r="P19" s="211">
        <f t="shared" ref="P19:Q19" si="5">MAX(P11:P17)</f>
        <v>20.817604868941977</v>
      </c>
      <c r="Q19" s="211">
        <f t="shared" si="5"/>
        <v>41.882427002410928</v>
      </c>
    </row>
    <row r="20" spans="2:17" x14ac:dyDescent="0.3">
      <c r="B20" s="210" t="s">
        <v>399</v>
      </c>
      <c r="C20" s="210"/>
      <c r="D20" s="210"/>
      <c r="E20" s="210"/>
      <c r="F20" s="210"/>
      <c r="G20" s="210"/>
      <c r="H20" s="210"/>
      <c r="I20" s="210"/>
      <c r="J20" s="210"/>
      <c r="K20" s="210"/>
      <c r="L20" s="210"/>
      <c r="M20" s="210"/>
      <c r="N20" s="210"/>
      <c r="O20" s="211">
        <f>QUARTILE(O11:O17,3)</f>
        <v>3.2286787809610518</v>
      </c>
      <c r="P20" s="211">
        <f t="shared" ref="P20:Q20" si="6">QUARTILE(P11:P17,3)</f>
        <v>16.252879638514845</v>
      </c>
      <c r="Q20" s="211">
        <f t="shared" si="6"/>
        <v>35.291704307201755</v>
      </c>
    </row>
    <row r="21" spans="2:17" x14ac:dyDescent="0.3">
      <c r="B21" s="207" t="s">
        <v>320</v>
      </c>
      <c r="C21" s="210"/>
      <c r="D21" s="210"/>
      <c r="E21" s="210"/>
      <c r="F21" s="210"/>
      <c r="G21" s="210"/>
      <c r="H21" s="210"/>
      <c r="I21" s="210"/>
      <c r="J21" s="210"/>
      <c r="K21" s="210"/>
      <c r="L21" s="210"/>
      <c r="M21" s="210"/>
      <c r="N21" s="210"/>
      <c r="O21" s="209">
        <f>AVERAGE(O11:O17)</f>
        <v>2.6926052670047484</v>
      </c>
      <c r="P21" s="209">
        <f t="shared" ref="P21:Q21" si="7">AVERAGE(P11:P17)</f>
        <v>14.582730363439566</v>
      </c>
      <c r="Q21" s="209">
        <f t="shared" si="7"/>
        <v>28.288363372708577</v>
      </c>
    </row>
    <row r="22" spans="2:17" x14ac:dyDescent="0.3">
      <c r="B22" s="207" t="s">
        <v>198</v>
      </c>
      <c r="C22" s="210"/>
      <c r="D22" s="210"/>
      <c r="E22" s="210"/>
      <c r="F22" s="210"/>
      <c r="G22" s="210"/>
      <c r="H22" s="210"/>
      <c r="I22" s="210"/>
      <c r="J22" s="210"/>
      <c r="K22" s="210"/>
      <c r="L22" s="210"/>
      <c r="M22" s="210"/>
      <c r="N22" s="210"/>
      <c r="O22" s="209">
        <f>MEDIAN(O11:O17)</f>
        <v>2.6888299008892034</v>
      </c>
      <c r="P22" s="209">
        <f t="shared" ref="P22:Q22" si="8">MEDIAN(P11:P17)</f>
        <v>15.157803779912758</v>
      </c>
      <c r="Q22" s="209">
        <f t="shared" si="8"/>
        <v>31.55818965517242</v>
      </c>
    </row>
    <row r="23" spans="2:17" x14ac:dyDescent="0.3">
      <c r="B23" s="210" t="s">
        <v>400</v>
      </c>
      <c r="C23" s="210"/>
      <c r="D23" s="210"/>
      <c r="E23" s="210"/>
      <c r="F23" s="210"/>
      <c r="G23" s="210"/>
      <c r="H23" s="210"/>
      <c r="I23" s="210"/>
      <c r="J23" s="210"/>
      <c r="K23" s="210"/>
      <c r="L23" s="210"/>
      <c r="M23" s="210"/>
      <c r="N23" s="210"/>
      <c r="O23" s="211">
        <f>QUARTILE(O13:O19,1)</f>
        <v>1.9863471101840295</v>
      </c>
      <c r="P23" s="211">
        <f>QUARTILE(P13:P19,1)</f>
        <v>12.431057869546423</v>
      </c>
      <c r="Q23" s="211">
        <f>QUARTILE(Q13:Q19,1)</f>
        <v>21.53161637931035</v>
      </c>
    </row>
    <row r="24" spans="2:17" x14ac:dyDescent="0.3">
      <c r="B24" s="210" t="s">
        <v>401</v>
      </c>
      <c r="C24" s="210"/>
      <c r="D24" s="210"/>
      <c r="E24" s="210"/>
      <c r="F24" s="210"/>
      <c r="G24" s="210"/>
      <c r="H24" s="210"/>
      <c r="I24" s="210"/>
      <c r="J24" s="210"/>
      <c r="K24" s="210"/>
      <c r="L24" s="210"/>
      <c r="M24" s="210"/>
      <c r="N24" s="210"/>
      <c r="O24" s="211">
        <f>MIN(O11:O17)</f>
        <v>1.5301652892561985</v>
      </c>
      <c r="P24" s="211">
        <f t="shared" ref="P24:Q24" si="9">MIN(P11:P17)</f>
        <v>7.4147175901022067</v>
      </c>
      <c r="Q24" s="211">
        <f t="shared" si="9"/>
        <v>12.183166109253067</v>
      </c>
    </row>
    <row r="26" spans="2:17" x14ac:dyDescent="0.3">
      <c r="B26" s="87" t="s">
        <v>402</v>
      </c>
      <c r="C26" s="87"/>
      <c r="D26" s="87"/>
      <c r="E26" s="87"/>
      <c r="F26" s="87"/>
      <c r="G26" s="87"/>
      <c r="H26" s="87"/>
      <c r="I26" s="87"/>
      <c r="J26" s="87"/>
      <c r="K26" s="87"/>
      <c r="L26" s="87"/>
      <c r="M26" s="87"/>
      <c r="N26" s="87"/>
      <c r="O26" s="35" t="s">
        <v>390</v>
      </c>
      <c r="P26" s="35" t="s">
        <v>389</v>
      </c>
      <c r="Q26" s="35" t="s">
        <v>391</v>
      </c>
    </row>
    <row r="27" spans="2:17" ht="3.6" customHeight="1" x14ac:dyDescent="0.3"/>
    <row r="28" spans="2:17" x14ac:dyDescent="0.3">
      <c r="B28" s="144" t="s">
        <v>403</v>
      </c>
      <c r="C28" s="144"/>
      <c r="D28" s="144"/>
      <c r="E28" s="144"/>
      <c r="F28" s="144"/>
      <c r="G28" s="144"/>
      <c r="H28" s="144"/>
      <c r="I28" s="144"/>
      <c r="J28" s="144"/>
      <c r="K28" s="144"/>
      <c r="L28" s="144"/>
      <c r="M28" s="144"/>
      <c r="N28" s="144"/>
      <c r="O28" s="158">
        <f>O22*K12</f>
        <v>3581.467651386401</v>
      </c>
      <c r="P28" s="158">
        <f>P22*L12</f>
        <v>3028.4837218152293</v>
      </c>
      <c r="Q28" s="158">
        <f>Q30+Q29</f>
        <v>3978.5889008620697</v>
      </c>
    </row>
    <row r="29" spans="2:17" x14ac:dyDescent="0.3">
      <c r="B29" s="144" t="s">
        <v>383</v>
      </c>
      <c r="C29" s="144"/>
      <c r="D29" s="144"/>
      <c r="E29" s="144"/>
      <c r="F29" s="144"/>
      <c r="G29" s="144"/>
      <c r="H29" s="144"/>
      <c r="I29" s="144"/>
      <c r="J29" s="144"/>
      <c r="K29" s="144"/>
      <c r="L29" s="144"/>
      <c r="M29" s="144"/>
      <c r="N29" s="144"/>
      <c r="O29" s="158">
        <f>G12</f>
        <v>-161.52999999999997</v>
      </c>
      <c r="P29" s="158">
        <f>O29</f>
        <v>-161.52999999999997</v>
      </c>
      <c r="Q29" s="158">
        <f t="shared" ref="Q29" si="10">P29</f>
        <v>-161.52999999999997</v>
      </c>
    </row>
    <row r="30" spans="2:17" x14ac:dyDescent="0.3">
      <c r="B30" s="144" t="s">
        <v>404</v>
      </c>
      <c r="C30" s="144"/>
      <c r="D30" s="144"/>
      <c r="E30" s="144"/>
      <c r="F30" s="144"/>
      <c r="G30" s="144"/>
      <c r="H30" s="144"/>
      <c r="I30" s="144"/>
      <c r="J30" s="144"/>
      <c r="K30" s="144"/>
      <c r="L30" s="144"/>
      <c r="M30" s="144"/>
      <c r="N30" s="144"/>
      <c r="O30" s="158">
        <f>O28-O29</f>
        <v>3742.9976513864012</v>
      </c>
      <c r="P30" s="158">
        <f t="shared" ref="P30" si="11">P28-P29</f>
        <v>3190.0137218152295</v>
      </c>
      <c r="Q30" s="158">
        <f>Q22*M12</f>
        <v>4140.1189008620695</v>
      </c>
    </row>
    <row r="31" spans="2:17" x14ac:dyDescent="0.3">
      <c r="B31" s="144" t="s">
        <v>381</v>
      </c>
      <c r="C31" s="144"/>
      <c r="D31" s="144"/>
      <c r="E31" s="144"/>
      <c r="F31" s="144"/>
      <c r="G31" s="144"/>
      <c r="H31" s="144"/>
      <c r="I31" s="144"/>
      <c r="J31" s="144"/>
      <c r="K31" s="144"/>
      <c r="L31" s="144"/>
      <c r="M31" s="144"/>
      <c r="N31" s="144"/>
      <c r="O31" s="144">
        <f>E12</f>
        <v>0.53</v>
      </c>
      <c r="P31" s="144">
        <f>O31</f>
        <v>0.53</v>
      </c>
      <c r="Q31" s="144">
        <f t="shared" ref="Q31" si="12">P31</f>
        <v>0.53</v>
      </c>
    </row>
    <row r="32" spans="2:17" ht="3.6" customHeight="1" x14ac:dyDescent="0.3"/>
    <row r="33" spans="2:17" ht="15" thickBot="1" x14ac:dyDescent="0.35">
      <c r="B33" s="212" t="s">
        <v>405</v>
      </c>
      <c r="C33" s="212"/>
      <c r="D33" s="212"/>
      <c r="E33" s="212"/>
      <c r="F33" s="212"/>
      <c r="G33" s="212"/>
      <c r="H33" s="212"/>
      <c r="I33" s="212"/>
      <c r="J33" s="212"/>
      <c r="K33" s="212"/>
      <c r="L33" s="212"/>
      <c r="M33" s="212"/>
      <c r="N33" s="212"/>
      <c r="O33" s="213">
        <f>O30/O31</f>
        <v>7062.2597195969829</v>
      </c>
      <c r="P33" s="213">
        <f t="shared" ref="P33:Q33" si="13">P30/P31</f>
        <v>6018.8938147457156</v>
      </c>
      <c r="Q33" s="213">
        <f t="shared" si="13"/>
        <v>7811.5450959661684</v>
      </c>
    </row>
    <row r="34" spans="2:17" x14ac:dyDescent="0.3">
      <c r="O34" s="50" t="str">
        <f>IF(O33&lt;$D$12,"Overvalued","Undervalued")</f>
        <v>Overvalued</v>
      </c>
      <c r="P34" s="50" t="str">
        <f>IF(P33&lt;$D$12,"Overvalued","Undervalued")</f>
        <v>Overvalued</v>
      </c>
      <c r="Q34" s="50" t="str">
        <f>IF(Q33&lt;$D$12,"Overvalued","Undervalued")</f>
        <v>Overvalued</v>
      </c>
    </row>
  </sheetData>
  <mergeCells count="5">
    <mergeCell ref="O8:Q8"/>
    <mergeCell ref="P6:Q6"/>
    <mergeCell ref="B2:I4"/>
    <mergeCell ref="D8:I8"/>
    <mergeCell ref="K8:M8"/>
  </mergeCells>
  <pageMargins left="0.25" right="0.25" top="0.75" bottom="0.75" header="0.3" footer="0.3"/>
  <pageSetup scale="76"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4670-4AF1-469B-B571-055E926431AC}">
  <sheetPr>
    <tabColor theme="3" tint="0.59999389629810485"/>
  </sheetPr>
  <dimension ref="B2:M19"/>
  <sheetViews>
    <sheetView showGridLines="0" workbookViewId="0">
      <selection activeCell="L17" sqref="L17"/>
    </sheetView>
  </sheetViews>
  <sheetFormatPr defaultRowHeight="14.4" x14ac:dyDescent="0.3"/>
  <cols>
    <col min="1" max="1" width="1.88671875" customWidth="1"/>
    <col min="2" max="2" width="5.44140625" bestFit="1" customWidth="1"/>
    <col min="3" max="3" width="15" bestFit="1" customWidth="1"/>
    <col min="4" max="4" width="7.6640625" bestFit="1" customWidth="1"/>
    <col min="5" max="5" width="15.6640625" bestFit="1" customWidth="1"/>
    <col min="6" max="6" width="11" bestFit="1" customWidth="1"/>
    <col min="7" max="7" width="10.109375" bestFit="1" customWidth="1"/>
    <col min="8" max="8" width="13.6640625" bestFit="1" customWidth="1"/>
    <col min="10" max="10" width="10.33203125" bestFit="1" customWidth="1"/>
    <col min="11" max="11" width="12.109375" bestFit="1" customWidth="1"/>
    <col min="12" max="12" width="13.21875" bestFit="1" customWidth="1"/>
  </cols>
  <sheetData>
    <row r="2" spans="2:13" x14ac:dyDescent="0.3">
      <c r="B2" t="s">
        <v>315</v>
      </c>
      <c r="C2" t="s">
        <v>249</v>
      </c>
      <c r="D2" t="s">
        <v>316</v>
      </c>
      <c r="E2" t="s">
        <v>394</v>
      </c>
      <c r="F2" t="s">
        <v>382</v>
      </c>
      <c r="G2" t="s">
        <v>318</v>
      </c>
      <c r="H2" t="s">
        <v>395</v>
      </c>
      <c r="I2" t="s">
        <v>383</v>
      </c>
      <c r="J2" t="s">
        <v>396</v>
      </c>
      <c r="K2" t="s">
        <v>397</v>
      </c>
      <c r="L2" t="s">
        <v>154</v>
      </c>
      <c r="M2" t="s">
        <v>229</v>
      </c>
    </row>
    <row r="3" spans="2:13" x14ac:dyDescent="0.3">
      <c r="B3">
        <v>1</v>
      </c>
      <c r="C3" t="s">
        <v>250</v>
      </c>
      <c r="D3">
        <v>354.5</v>
      </c>
      <c r="E3">
        <v>22.09</v>
      </c>
      <c r="G3">
        <v>38.11</v>
      </c>
      <c r="H3">
        <v>127.77</v>
      </c>
      <c r="I3">
        <f>G3-(H3)</f>
        <v>-89.66</v>
      </c>
      <c r="J3">
        <v>2321.41</v>
      </c>
      <c r="K3">
        <v>331.51</v>
      </c>
      <c r="L3">
        <v>0.22</v>
      </c>
      <c r="M3">
        <f>J3*L3</f>
        <v>510.71019999999999</v>
      </c>
    </row>
    <row r="4" spans="2:13" x14ac:dyDescent="0.3">
      <c r="B4">
        <v>2</v>
      </c>
      <c r="C4" t="s">
        <v>314</v>
      </c>
      <c r="D4">
        <v>8152.5</v>
      </c>
      <c r="E4">
        <v>0.53</v>
      </c>
      <c r="G4">
        <v>29.39</v>
      </c>
      <c r="H4">
        <v>190.92</v>
      </c>
      <c r="I4">
        <f t="shared" ref="I4:I9" si="0">G4-(H4)</f>
        <v>-161.52999999999997</v>
      </c>
      <c r="J4">
        <v>1331.98</v>
      </c>
      <c r="K4">
        <v>131.19</v>
      </c>
      <c r="L4">
        <v>0.15</v>
      </c>
      <c r="M4">
        <f t="shared" ref="M4:M9" si="1">J4*L4</f>
        <v>199.797</v>
      </c>
    </row>
    <row r="5" spans="2:13" x14ac:dyDescent="0.3">
      <c r="B5">
        <v>3</v>
      </c>
      <c r="C5" t="s">
        <v>251</v>
      </c>
      <c r="D5">
        <v>261.45</v>
      </c>
      <c r="E5">
        <v>11.96</v>
      </c>
      <c r="G5">
        <v>148.08000000000001</v>
      </c>
      <c r="H5">
        <v>3.2</v>
      </c>
      <c r="I5">
        <f t="shared" si="0"/>
        <v>144.88000000000002</v>
      </c>
      <c r="J5">
        <v>1216.82</v>
      </c>
      <c r="K5">
        <v>74.66</v>
      </c>
      <c r="L5">
        <v>0.16</v>
      </c>
      <c r="M5">
        <f t="shared" si="1"/>
        <v>194.69119999999998</v>
      </c>
    </row>
    <row r="6" spans="2:13" x14ac:dyDescent="0.3">
      <c r="B6">
        <v>4</v>
      </c>
      <c r="C6" t="s">
        <v>252</v>
      </c>
      <c r="D6">
        <v>204.62</v>
      </c>
      <c r="E6">
        <v>6.55</v>
      </c>
      <c r="G6">
        <v>86.4</v>
      </c>
      <c r="H6">
        <v>100.33</v>
      </c>
      <c r="I6">
        <f t="shared" si="0"/>
        <v>-13.929999999999993</v>
      </c>
      <c r="J6">
        <v>613.5</v>
      </c>
      <c r="K6">
        <v>35.6</v>
      </c>
      <c r="L6">
        <v>0.15</v>
      </c>
      <c r="M6">
        <f t="shared" si="1"/>
        <v>92.024999999999991</v>
      </c>
    </row>
    <row r="7" spans="2:13" x14ac:dyDescent="0.3">
      <c r="B7">
        <v>5</v>
      </c>
      <c r="C7" t="s">
        <v>253</v>
      </c>
      <c r="D7">
        <v>159.15</v>
      </c>
      <c r="E7">
        <v>2.06</v>
      </c>
      <c r="G7">
        <v>49.98</v>
      </c>
      <c r="H7">
        <v>33.229999999999997</v>
      </c>
      <c r="I7">
        <f t="shared" si="0"/>
        <v>16.75</v>
      </c>
      <c r="J7">
        <v>178.75</v>
      </c>
      <c r="K7">
        <v>26.91</v>
      </c>
      <c r="L7">
        <v>0.26</v>
      </c>
      <c r="M7">
        <f t="shared" si="1"/>
        <v>46.475000000000001</v>
      </c>
    </row>
    <row r="8" spans="2:13" x14ac:dyDescent="0.3">
      <c r="B8">
        <v>6</v>
      </c>
      <c r="C8" t="s">
        <v>392</v>
      </c>
      <c r="D8">
        <v>31.44</v>
      </c>
      <c r="E8">
        <v>6.04</v>
      </c>
      <c r="G8">
        <v>26.53</v>
      </c>
      <c r="H8">
        <v>1.38</v>
      </c>
      <c r="I8">
        <f t="shared" si="0"/>
        <v>25.150000000000002</v>
      </c>
      <c r="J8">
        <v>52.68</v>
      </c>
      <c r="K8">
        <v>10.44</v>
      </c>
      <c r="L8">
        <v>0.26</v>
      </c>
      <c r="M8">
        <f t="shared" si="1"/>
        <v>13.6968</v>
      </c>
    </row>
    <row r="9" spans="2:13" x14ac:dyDescent="0.3">
      <c r="B9">
        <v>7</v>
      </c>
      <c r="C9" t="s">
        <v>393</v>
      </c>
      <c r="D9">
        <v>244.05</v>
      </c>
      <c r="E9">
        <v>0.75</v>
      </c>
      <c r="G9">
        <v>52.54</v>
      </c>
      <c r="H9">
        <v>4.1399999999999997</v>
      </c>
      <c r="I9">
        <f t="shared" si="0"/>
        <v>48.4</v>
      </c>
      <c r="J9">
        <v>151.25</v>
      </c>
      <c r="K9">
        <v>5.8</v>
      </c>
      <c r="L9">
        <v>0.13</v>
      </c>
      <c r="M9">
        <f t="shared" si="1"/>
        <v>19.662500000000001</v>
      </c>
    </row>
    <row r="13" spans="2:13" x14ac:dyDescent="0.3">
      <c r="E13" t="s">
        <v>406</v>
      </c>
    </row>
    <row r="14" spans="2:13" x14ac:dyDescent="0.3">
      <c r="E14" t="s">
        <v>407</v>
      </c>
    </row>
    <row r="15" spans="2:13" x14ac:dyDescent="0.3">
      <c r="E15" t="s">
        <v>408</v>
      </c>
    </row>
    <row r="16" spans="2:13" x14ac:dyDescent="0.3">
      <c r="E16" t="s">
        <v>409</v>
      </c>
    </row>
    <row r="17" spans="5:5" x14ac:dyDescent="0.3">
      <c r="E17" t="s">
        <v>410</v>
      </c>
    </row>
    <row r="18" spans="5:5" x14ac:dyDescent="0.3">
      <c r="E18" t="s">
        <v>411</v>
      </c>
    </row>
    <row r="19" spans="5:5" x14ac:dyDescent="0.3">
      <c r="E19" t="s">
        <v>412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3" tint="0.59999389629810485"/>
    <pageSetUpPr fitToPage="1"/>
  </sheetPr>
  <dimension ref="A1:J37"/>
  <sheetViews>
    <sheetView showGridLines="0" zoomScale="69" zoomScaleNormal="100" workbookViewId="0">
      <selection activeCell="J32" sqref="J32"/>
    </sheetView>
  </sheetViews>
  <sheetFormatPr defaultRowHeight="14.4" x14ac:dyDescent="0.3"/>
  <cols>
    <col min="1" max="1" width="75" customWidth="1"/>
    <col min="2" max="7" width="16" customWidth="1"/>
    <col min="8" max="8" width="10" bestFit="1" customWidth="1"/>
    <col min="10" max="10" width="10.33203125" bestFit="1" customWidth="1"/>
  </cols>
  <sheetData>
    <row r="1" spans="1:10" ht="18" customHeight="1" x14ac:dyDescent="0.35">
      <c r="A1" s="221" t="s">
        <v>0</v>
      </c>
      <c r="B1" s="222"/>
      <c r="C1" s="222"/>
      <c r="D1" s="222"/>
      <c r="E1" s="222"/>
      <c r="F1" s="222"/>
      <c r="G1" s="222"/>
    </row>
    <row r="2" spans="1:10" x14ac:dyDescent="0.3">
      <c r="A2" s="237" t="s">
        <v>1</v>
      </c>
      <c r="B2" s="237"/>
      <c r="G2" s="25" t="s">
        <v>144</v>
      </c>
    </row>
    <row r="3" spans="1:10" x14ac:dyDescent="0.3">
      <c r="A3" s="9" t="s">
        <v>2</v>
      </c>
      <c r="B3" s="9" t="s">
        <v>3</v>
      </c>
      <c r="C3" s="9" t="s">
        <v>4</v>
      </c>
      <c r="D3" s="9" t="s">
        <v>5</v>
      </c>
      <c r="E3" s="9" t="s">
        <v>6</v>
      </c>
      <c r="F3" s="9" t="s">
        <v>7</v>
      </c>
      <c r="G3" s="9" t="s">
        <v>8</v>
      </c>
    </row>
    <row r="4" spans="1:10" x14ac:dyDescent="0.3">
      <c r="A4" s="10" t="s">
        <v>9</v>
      </c>
      <c r="B4" s="4"/>
      <c r="C4" s="4"/>
      <c r="D4" s="4"/>
      <c r="E4" s="4"/>
      <c r="F4" s="4"/>
      <c r="G4" s="4"/>
    </row>
    <row r="5" spans="1:10" x14ac:dyDescent="0.3">
      <c r="A5" s="3" t="s">
        <v>10</v>
      </c>
      <c r="B5" s="4">
        <v>76845.94</v>
      </c>
      <c r="C5" s="4">
        <v>95801.19</v>
      </c>
      <c r="D5" s="4">
        <v>100579.5</v>
      </c>
      <c r="E5" s="4">
        <v>102414.97</v>
      </c>
      <c r="F5" s="4">
        <v>111575.66</v>
      </c>
      <c r="G5" s="4">
        <v>125292.73</v>
      </c>
      <c r="H5" s="4"/>
    </row>
    <row r="6" spans="1:10" x14ac:dyDescent="0.3">
      <c r="A6" s="3" t="s">
        <v>11</v>
      </c>
      <c r="B6" s="4">
        <v>731.98</v>
      </c>
      <c r="C6" s="4">
        <v>586.12</v>
      </c>
      <c r="D6" s="4">
        <v>416</v>
      </c>
      <c r="E6" s="4">
        <v>1058.3599999999999</v>
      </c>
      <c r="F6" s="4">
        <v>1352.86</v>
      </c>
      <c r="G6" s="4">
        <v>1297.9000000000001</v>
      </c>
      <c r="J6" s="4"/>
    </row>
    <row r="7" spans="1:10" x14ac:dyDescent="0.3">
      <c r="A7" s="11" t="s">
        <v>12</v>
      </c>
      <c r="B7" s="12">
        <v>77577.91</v>
      </c>
      <c r="C7" s="12">
        <v>96387.31</v>
      </c>
      <c r="D7" s="12">
        <v>100995.5</v>
      </c>
      <c r="E7" s="12">
        <v>103473.34</v>
      </c>
      <c r="F7" s="12">
        <v>112928.52</v>
      </c>
      <c r="G7" s="12">
        <v>126590.63</v>
      </c>
    </row>
    <row r="8" spans="1:10" x14ac:dyDescent="0.3">
      <c r="A8" s="10" t="s">
        <v>13</v>
      </c>
      <c r="B8" s="4"/>
      <c r="C8" s="4"/>
      <c r="D8" s="4"/>
      <c r="E8" s="4"/>
      <c r="F8" s="4"/>
      <c r="G8" s="4"/>
    </row>
    <row r="9" spans="1:10" x14ac:dyDescent="0.3">
      <c r="A9" s="3" t="s">
        <v>14</v>
      </c>
      <c r="B9" s="4">
        <v>24611.08</v>
      </c>
      <c r="C9" s="4">
        <v>39317.949999999997</v>
      </c>
      <c r="D9" s="4">
        <v>40464.480000000003</v>
      </c>
      <c r="E9" s="4">
        <v>35362.550000000003</v>
      </c>
      <c r="F9" s="4">
        <v>42387.9</v>
      </c>
      <c r="G9" s="4">
        <v>48651.54</v>
      </c>
    </row>
    <row r="10" spans="1:10" x14ac:dyDescent="0.3">
      <c r="A10" s="3" t="s">
        <v>15</v>
      </c>
      <c r="B10" s="4">
        <v>8385.2000000000007</v>
      </c>
      <c r="C10" s="4">
        <v>15003.36</v>
      </c>
      <c r="D10" s="4">
        <v>10521.48</v>
      </c>
      <c r="E10" s="4">
        <v>12118.3</v>
      </c>
      <c r="F10" s="4">
        <v>11814.15</v>
      </c>
      <c r="G10" s="4">
        <v>14386.23</v>
      </c>
    </row>
    <row r="11" spans="1:10" x14ac:dyDescent="0.3">
      <c r="A11" s="3" t="s">
        <v>16</v>
      </c>
      <c r="B11" s="4">
        <v>3523.43</v>
      </c>
      <c r="C11" s="4">
        <v>-5439</v>
      </c>
      <c r="D11" s="4">
        <v>153.84</v>
      </c>
      <c r="E11" s="4">
        <v>1818.7</v>
      </c>
      <c r="F11" s="4">
        <v>-531.96</v>
      </c>
      <c r="G11" s="4">
        <v>-1383.77</v>
      </c>
    </row>
    <row r="12" spans="1:10" x14ac:dyDescent="0.3">
      <c r="A12" s="3" t="s">
        <v>17</v>
      </c>
      <c r="B12" s="4">
        <v>10094.85</v>
      </c>
      <c r="C12" s="4">
        <v>10618.57</v>
      </c>
      <c r="D12" s="4">
        <v>11273.53</v>
      </c>
      <c r="E12" s="4">
        <v>11569.31</v>
      </c>
      <c r="F12" s="4">
        <v>12249.8</v>
      </c>
      <c r="G12" s="4">
        <v>12862.72</v>
      </c>
    </row>
    <row r="13" spans="1:10" x14ac:dyDescent="0.3">
      <c r="A13" s="3" t="s">
        <v>18</v>
      </c>
      <c r="B13" s="4">
        <v>473.48</v>
      </c>
      <c r="C13" s="4">
        <v>605.71</v>
      </c>
      <c r="D13" s="4">
        <v>486.31</v>
      </c>
      <c r="E13" s="4">
        <v>455.02</v>
      </c>
      <c r="F13" s="4">
        <v>290.31</v>
      </c>
      <c r="G13" s="4">
        <v>352.88</v>
      </c>
    </row>
    <row r="14" spans="1:10" x14ac:dyDescent="0.3">
      <c r="A14" s="3" t="s">
        <v>19</v>
      </c>
      <c r="B14" s="4">
        <v>533.14</v>
      </c>
      <c r="C14" s="4">
        <v>665.71</v>
      </c>
      <c r="D14" s="4">
        <v>771.96</v>
      </c>
      <c r="E14" s="4">
        <v>868.39</v>
      </c>
      <c r="F14" s="4">
        <v>1029.1600000000001</v>
      </c>
      <c r="G14" s="4">
        <v>1359.61</v>
      </c>
    </row>
    <row r="15" spans="1:10" x14ac:dyDescent="0.3">
      <c r="A15" s="3" t="s">
        <v>20</v>
      </c>
      <c r="B15" s="4">
        <v>19150.46</v>
      </c>
      <c r="C15" s="4">
        <v>24324.38</v>
      </c>
      <c r="D15" s="4">
        <v>24632.799999999999</v>
      </c>
      <c r="E15" s="4">
        <v>26526.15</v>
      </c>
      <c r="F15" s="4">
        <v>30201.86</v>
      </c>
      <c r="G15" s="4">
        <v>32699.74</v>
      </c>
    </row>
    <row r="16" spans="1:10" x14ac:dyDescent="0.3">
      <c r="A16" s="11" t="s">
        <v>21</v>
      </c>
      <c r="B16" s="12">
        <v>66771.649999999994</v>
      </c>
      <c r="C16" s="12">
        <v>85096.68</v>
      </c>
      <c r="D16" s="12">
        <v>88304.41</v>
      </c>
      <c r="E16" s="12">
        <v>88718.41</v>
      </c>
      <c r="F16" s="12">
        <v>97441.22</v>
      </c>
      <c r="G16" s="12">
        <v>108928.95</v>
      </c>
      <c r="J16" s="23"/>
    </row>
    <row r="17" spans="1:7" x14ac:dyDescent="0.3">
      <c r="A17" s="17" t="s">
        <v>22</v>
      </c>
      <c r="B17" s="18">
        <v>10806.26</v>
      </c>
      <c r="C17" s="18">
        <v>11290.64</v>
      </c>
      <c r="D17" s="18">
        <v>12691.09</v>
      </c>
      <c r="E17" s="18">
        <v>14754.92</v>
      </c>
      <c r="F17" s="18">
        <v>15487.3</v>
      </c>
      <c r="G17" s="18">
        <v>17661.68</v>
      </c>
    </row>
    <row r="18" spans="1:7" x14ac:dyDescent="0.3">
      <c r="A18" s="10" t="s">
        <v>23</v>
      </c>
      <c r="B18" s="4">
        <v>2742.71</v>
      </c>
      <c r="C18" s="4">
        <v>2902.01</v>
      </c>
      <c r="D18" s="4">
        <v>3213.38</v>
      </c>
      <c r="E18" s="4">
        <v>3771.33</v>
      </c>
      <c r="F18" s="4">
        <v>4018.03</v>
      </c>
      <c r="G18" s="4">
        <v>4542.8500000000004</v>
      </c>
    </row>
    <row r="19" spans="1:7" x14ac:dyDescent="0.3">
      <c r="A19" s="15" t="s">
        <v>24</v>
      </c>
      <c r="B19" s="16">
        <v>2685</v>
      </c>
      <c r="C19" s="16">
        <v>2827</v>
      </c>
      <c r="D19" s="16">
        <v>3287.53</v>
      </c>
      <c r="E19" s="16">
        <v>3759</v>
      </c>
      <c r="F19" s="16">
        <v>3899.13</v>
      </c>
      <c r="G19" s="16">
        <v>4463</v>
      </c>
    </row>
    <row r="20" spans="1:7" x14ac:dyDescent="0.3">
      <c r="A20" s="13" t="s">
        <v>25</v>
      </c>
      <c r="B20" s="14">
        <v>57.71</v>
      </c>
      <c r="C20" s="14">
        <v>75.010000000000005</v>
      </c>
      <c r="D20" s="14">
        <v>-74.150000000000006</v>
      </c>
      <c r="E20" s="14">
        <v>12.33</v>
      </c>
      <c r="F20" s="14">
        <v>118.9</v>
      </c>
      <c r="G20" s="14">
        <v>79.849999999999994</v>
      </c>
    </row>
    <row r="21" spans="1:7" x14ac:dyDescent="0.3">
      <c r="A21" s="11" t="s">
        <v>26</v>
      </c>
      <c r="B21" s="12">
        <v>8063.55</v>
      </c>
      <c r="C21" s="12">
        <v>8388.6299999999992</v>
      </c>
      <c r="D21" s="12">
        <v>9477.7099999999991</v>
      </c>
      <c r="E21" s="12">
        <v>10983.6</v>
      </c>
      <c r="F21" s="12">
        <v>11469.27</v>
      </c>
      <c r="G21" s="12">
        <v>13118.83</v>
      </c>
    </row>
    <row r="22" spans="1:7" x14ac:dyDescent="0.3">
      <c r="A22" s="6" t="s">
        <v>27</v>
      </c>
      <c r="B22" s="6"/>
      <c r="C22" s="6"/>
      <c r="D22" s="6"/>
      <c r="E22" s="6"/>
      <c r="F22" s="6"/>
      <c r="G22" s="6"/>
    </row>
    <row r="23" spans="1:7" x14ac:dyDescent="0.3">
      <c r="A23" s="27" t="s">
        <v>28</v>
      </c>
      <c r="B23" s="28"/>
      <c r="C23" s="28"/>
      <c r="D23" s="28"/>
      <c r="E23" s="28"/>
      <c r="F23" s="28"/>
      <c r="G23" s="28"/>
    </row>
    <row r="24" spans="1:7" x14ac:dyDescent="0.3">
      <c r="A24" s="31" t="s">
        <v>29</v>
      </c>
      <c r="B24" s="32">
        <v>-48.53</v>
      </c>
      <c r="C24" s="32">
        <v>-99.58</v>
      </c>
      <c r="D24" s="32">
        <v>-13.32</v>
      </c>
      <c r="E24" s="32">
        <v>52.39</v>
      </c>
      <c r="F24" s="32">
        <v>-197</v>
      </c>
      <c r="G24" s="32">
        <v>-59.56</v>
      </c>
    </row>
    <row r="25" spans="1:7" x14ac:dyDescent="0.3">
      <c r="A25" s="27" t="s">
        <v>30</v>
      </c>
      <c r="B25" s="28">
        <v>12.21</v>
      </c>
      <c r="C25" s="28">
        <v>25.52</v>
      </c>
      <c r="D25" s="28">
        <v>3.35</v>
      </c>
      <c r="E25" s="28">
        <v>-13.19</v>
      </c>
      <c r="F25" s="28">
        <v>49.58</v>
      </c>
      <c r="G25" s="28">
        <v>14.99</v>
      </c>
    </row>
    <row r="26" spans="1:7" x14ac:dyDescent="0.3">
      <c r="A26" s="27" t="s">
        <v>31</v>
      </c>
      <c r="B26" s="28">
        <v>0</v>
      </c>
      <c r="C26" s="28">
        <v>0</v>
      </c>
      <c r="D26" s="28">
        <v>0</v>
      </c>
      <c r="E26" s="28">
        <v>0</v>
      </c>
      <c r="F26" s="28">
        <v>0</v>
      </c>
      <c r="G26" s="28">
        <v>0</v>
      </c>
    </row>
    <row r="27" spans="1:7" x14ac:dyDescent="0.3">
      <c r="A27" s="33" t="s">
        <v>32</v>
      </c>
      <c r="B27" s="34">
        <v>-36.31</v>
      </c>
      <c r="C27" s="34">
        <v>-74.06</v>
      </c>
      <c r="D27" s="34">
        <v>-9.9700000000000006</v>
      </c>
      <c r="E27" s="34">
        <v>39.200000000000003</v>
      </c>
      <c r="F27" s="34">
        <v>-147.41999999999999</v>
      </c>
      <c r="G27" s="34">
        <v>-44.57</v>
      </c>
    </row>
    <row r="28" spans="1:7" x14ac:dyDescent="0.3">
      <c r="A28" s="33" t="s">
        <v>33</v>
      </c>
      <c r="B28" s="34">
        <v>8027.23</v>
      </c>
      <c r="C28" s="34">
        <v>8314.57</v>
      </c>
      <c r="D28" s="34">
        <v>9467.75</v>
      </c>
      <c r="E28" s="34">
        <v>11022.8</v>
      </c>
      <c r="F28" s="34">
        <v>11321.85</v>
      </c>
      <c r="G28" s="34">
        <v>13074.25</v>
      </c>
    </row>
    <row r="29" spans="1:7" x14ac:dyDescent="0.3">
      <c r="A29" s="19" t="s">
        <v>34</v>
      </c>
      <c r="B29" s="19"/>
      <c r="C29" s="19"/>
      <c r="D29" s="19"/>
      <c r="E29" s="19"/>
      <c r="F29" s="19"/>
      <c r="G29" s="19"/>
    </row>
    <row r="30" spans="1:7" x14ac:dyDescent="0.3">
      <c r="A30" s="29" t="s">
        <v>35</v>
      </c>
      <c r="B30" s="30">
        <v>152.49</v>
      </c>
      <c r="C30" s="30">
        <v>158.63999999999999</v>
      </c>
      <c r="D30" s="30">
        <v>179.24</v>
      </c>
      <c r="E30" s="30">
        <v>207.72</v>
      </c>
      <c r="F30" s="30">
        <v>216.9</v>
      </c>
      <c r="G30" s="30">
        <v>248.1</v>
      </c>
    </row>
    <row r="31" spans="1:7" ht="28.8" customHeight="1" x14ac:dyDescent="0.3">
      <c r="A31" s="3"/>
      <c r="B31" s="4"/>
      <c r="C31" s="4"/>
    </row>
    <row r="32" spans="1:7" x14ac:dyDescent="0.3">
      <c r="A32" s="3"/>
      <c r="B32" s="4"/>
      <c r="C32" s="4"/>
    </row>
    <row r="33" spans="1:7" x14ac:dyDescent="0.3">
      <c r="A33" s="5"/>
      <c r="B33" s="4"/>
      <c r="C33" s="4"/>
      <c r="F33" s="1"/>
      <c r="G33" s="1"/>
    </row>
    <row r="34" spans="1:7" x14ac:dyDescent="0.3">
      <c r="A34" s="5"/>
      <c r="B34" s="4"/>
      <c r="C34" s="4"/>
      <c r="F34" s="1"/>
      <c r="G34" s="1"/>
    </row>
    <row r="35" spans="1:7" x14ac:dyDescent="0.3">
      <c r="A35" s="5"/>
      <c r="B35" s="4"/>
      <c r="C35" s="4"/>
      <c r="F35" s="1"/>
      <c r="G35" s="1"/>
    </row>
    <row r="36" spans="1:7" x14ac:dyDescent="0.3">
      <c r="A36" s="3"/>
      <c r="B36" s="4"/>
      <c r="C36" s="4"/>
    </row>
    <row r="37" spans="1:7" x14ac:dyDescent="0.3">
      <c r="A37" s="3"/>
      <c r="B37" s="4"/>
      <c r="C37" s="4"/>
    </row>
  </sheetData>
  <mergeCells count="2">
    <mergeCell ref="A1:G1"/>
    <mergeCell ref="A2:B2"/>
  </mergeCells>
  <pageMargins left="0.75" right="0.75" top="1" bottom="1" header="0.5" footer="0.5"/>
  <pageSetup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59999389629810485"/>
    <pageSetUpPr fitToPage="1"/>
  </sheetPr>
  <dimension ref="A1:L53"/>
  <sheetViews>
    <sheetView showGridLines="0" topLeftCell="A3" zoomScale="90" zoomScaleNormal="90" workbookViewId="0">
      <selection activeCell="A7" sqref="A7:A9"/>
    </sheetView>
  </sheetViews>
  <sheetFormatPr defaultRowHeight="14.4" x14ac:dyDescent="0.3"/>
  <cols>
    <col min="1" max="1" width="75" customWidth="1"/>
    <col min="2" max="7" width="16" customWidth="1"/>
  </cols>
  <sheetData>
    <row r="1" spans="1:12" ht="18" customHeight="1" x14ac:dyDescent="0.35">
      <c r="A1" s="221" t="s">
        <v>36</v>
      </c>
      <c r="B1" s="222"/>
      <c r="C1" s="222"/>
      <c r="D1" s="222"/>
      <c r="E1" s="222"/>
      <c r="F1" s="222"/>
      <c r="G1" s="222"/>
    </row>
    <row r="2" spans="1:12" x14ac:dyDescent="0.3">
      <c r="A2" s="238" t="s">
        <v>1</v>
      </c>
      <c r="B2" s="222"/>
      <c r="C2" s="222"/>
      <c r="D2" s="222"/>
      <c r="E2" s="222"/>
      <c r="F2" s="222"/>
      <c r="G2" s="222"/>
    </row>
    <row r="4" spans="1:12" x14ac:dyDescent="0.3">
      <c r="A4" s="9" t="s">
        <v>2</v>
      </c>
      <c r="B4" s="9" t="s">
        <v>3</v>
      </c>
      <c r="C4" s="9" t="s">
        <v>4</v>
      </c>
      <c r="D4" s="9" t="s">
        <v>5</v>
      </c>
      <c r="E4" s="9" t="s">
        <v>6</v>
      </c>
      <c r="F4" s="9" t="s">
        <v>7</v>
      </c>
      <c r="G4" s="9" t="s">
        <v>8</v>
      </c>
    </row>
    <row r="5" spans="1:12" x14ac:dyDescent="0.3">
      <c r="A5" s="10" t="s">
        <v>37</v>
      </c>
      <c r="B5" s="4"/>
      <c r="C5" s="4"/>
      <c r="D5" s="4"/>
      <c r="E5" s="4"/>
      <c r="F5" s="4"/>
      <c r="G5" s="4"/>
    </row>
    <row r="6" spans="1:12" x14ac:dyDescent="0.3">
      <c r="A6" s="10" t="s">
        <v>38</v>
      </c>
      <c r="B6" s="4"/>
      <c r="C6" s="4"/>
      <c r="D6" s="4"/>
      <c r="E6" s="4"/>
      <c r="F6" s="4"/>
      <c r="G6" s="4"/>
    </row>
    <row r="7" spans="1:12" x14ac:dyDescent="0.3">
      <c r="A7" s="3" t="s">
        <v>39</v>
      </c>
      <c r="B7" s="4">
        <v>3891.85</v>
      </c>
      <c r="C7" s="4">
        <v>5162.0600000000004</v>
      </c>
      <c r="D7" s="4">
        <v>6601.99</v>
      </c>
      <c r="E7" s="4">
        <v>7195.46</v>
      </c>
      <c r="F7" s="4">
        <v>8432.0400000000009</v>
      </c>
      <c r="G7" s="4">
        <v>11997.55</v>
      </c>
      <c r="H7" s="97"/>
      <c r="I7" s="97"/>
      <c r="J7" s="97"/>
      <c r="K7" s="97"/>
      <c r="L7" s="97"/>
    </row>
    <row r="8" spans="1:12" x14ac:dyDescent="0.3">
      <c r="A8" s="3" t="s">
        <v>40</v>
      </c>
      <c r="B8" s="4">
        <v>277.98</v>
      </c>
      <c r="C8" s="4">
        <v>323.11</v>
      </c>
      <c r="D8" s="4">
        <v>215.95</v>
      </c>
      <c r="E8" s="4">
        <v>1188.22</v>
      </c>
      <c r="F8" s="4">
        <v>2245.13</v>
      </c>
      <c r="G8" s="4">
        <v>1194.98</v>
      </c>
    </row>
    <row r="9" spans="1:12" x14ac:dyDescent="0.3">
      <c r="A9" s="3" t="s">
        <v>41</v>
      </c>
      <c r="B9" s="4">
        <v>9.49</v>
      </c>
      <c r="C9" s="4">
        <v>17.190000000000001</v>
      </c>
      <c r="D9" s="4">
        <v>15.28</v>
      </c>
      <c r="E9" s="4">
        <v>11.87</v>
      </c>
      <c r="F9" s="4">
        <v>45.98</v>
      </c>
      <c r="G9" s="4">
        <v>68.94</v>
      </c>
    </row>
    <row r="10" spans="1:12" x14ac:dyDescent="0.3">
      <c r="A10" s="26" t="s">
        <v>42</v>
      </c>
      <c r="B10" s="4"/>
      <c r="C10" s="4"/>
      <c r="D10" s="4"/>
      <c r="E10" s="4"/>
      <c r="F10" s="4"/>
      <c r="G10" s="4"/>
    </row>
    <row r="11" spans="1:12" x14ac:dyDescent="0.3">
      <c r="A11" s="3" t="s">
        <v>43</v>
      </c>
      <c r="B11" s="4">
        <v>0.25</v>
      </c>
      <c r="C11" s="4">
        <v>0.25</v>
      </c>
      <c r="D11" s="4">
        <v>0.25</v>
      </c>
      <c r="E11" s="4">
        <v>0.25</v>
      </c>
      <c r="F11" s="4">
        <v>0.25</v>
      </c>
      <c r="G11" s="4">
        <v>0.25</v>
      </c>
    </row>
    <row r="12" spans="1:12" x14ac:dyDescent="0.3">
      <c r="A12" s="3" t="s">
        <v>44</v>
      </c>
      <c r="B12" s="4">
        <v>1109.6199999999999</v>
      </c>
      <c r="C12" s="4">
        <v>130.47</v>
      </c>
      <c r="D12" s="4">
        <v>779.34</v>
      </c>
      <c r="E12" s="4">
        <v>445.84</v>
      </c>
      <c r="F12" s="4">
        <v>936.04</v>
      </c>
      <c r="G12" s="4">
        <v>543.14</v>
      </c>
    </row>
    <row r="13" spans="1:12" x14ac:dyDescent="0.3">
      <c r="A13" s="3" t="s">
        <v>45</v>
      </c>
      <c r="B13" s="4">
        <v>208.62</v>
      </c>
      <c r="C13" s="4">
        <v>316.70999999999998</v>
      </c>
      <c r="D13" s="4">
        <v>296.08</v>
      </c>
      <c r="E13" s="4">
        <v>315.17</v>
      </c>
      <c r="F13" s="4">
        <v>443.25</v>
      </c>
      <c r="G13" s="4">
        <v>421.74</v>
      </c>
    </row>
    <row r="14" spans="1:12" x14ac:dyDescent="0.3">
      <c r="A14" s="3" t="s">
        <v>46</v>
      </c>
      <c r="B14" s="4">
        <v>85.79</v>
      </c>
      <c r="C14" s="4">
        <v>36.299999999999997</v>
      </c>
      <c r="D14" s="4">
        <v>113.8</v>
      </c>
      <c r="E14" s="4">
        <v>88.29</v>
      </c>
      <c r="F14" s="4">
        <v>18.97</v>
      </c>
      <c r="G14" s="4">
        <v>0</v>
      </c>
    </row>
    <row r="15" spans="1:12" x14ac:dyDescent="0.3">
      <c r="A15" s="3" t="s">
        <v>47</v>
      </c>
      <c r="B15" s="4">
        <v>364.97</v>
      </c>
      <c r="C15" s="4">
        <v>521.32000000000005</v>
      </c>
      <c r="D15" s="4">
        <v>556.08000000000004</v>
      </c>
      <c r="E15" s="4">
        <v>684.15</v>
      </c>
      <c r="F15" s="4">
        <v>625.92999999999995</v>
      </c>
      <c r="G15" s="4">
        <v>668.89</v>
      </c>
    </row>
    <row r="16" spans="1:12" x14ac:dyDescent="0.3">
      <c r="A16" s="17" t="s">
        <v>48</v>
      </c>
      <c r="B16" s="18">
        <v>5948.57</v>
      </c>
      <c r="C16" s="18">
        <v>6507.4</v>
      </c>
      <c r="D16" s="18">
        <v>8578.77</v>
      </c>
      <c r="E16" s="18">
        <v>9929.26</v>
      </c>
      <c r="F16" s="18">
        <v>12747.59</v>
      </c>
      <c r="G16" s="18">
        <v>14895.48</v>
      </c>
    </row>
    <row r="17" spans="1:7" x14ac:dyDescent="0.3">
      <c r="A17" s="10" t="s">
        <v>49</v>
      </c>
      <c r="B17" s="4"/>
      <c r="C17" s="4"/>
      <c r="D17" s="4"/>
      <c r="E17" s="4"/>
      <c r="F17" s="4"/>
      <c r="G17" s="4"/>
    </row>
    <row r="18" spans="1:7" x14ac:dyDescent="0.3">
      <c r="A18" s="3" t="s">
        <v>50</v>
      </c>
      <c r="B18" s="4">
        <v>9717.5300000000007</v>
      </c>
      <c r="C18" s="4">
        <v>17810.07</v>
      </c>
      <c r="D18" s="4">
        <v>16956.37</v>
      </c>
      <c r="E18" s="4">
        <v>14045.67</v>
      </c>
      <c r="F18" s="4">
        <v>15016.63</v>
      </c>
      <c r="G18" s="4">
        <v>19296.57</v>
      </c>
    </row>
    <row r="19" spans="1:7" x14ac:dyDescent="0.3">
      <c r="A19" s="26" t="s">
        <v>42</v>
      </c>
      <c r="B19" s="4"/>
      <c r="C19" s="4"/>
      <c r="D19" s="4"/>
      <c r="E19" s="4"/>
      <c r="F19" s="4"/>
      <c r="G19" s="4"/>
    </row>
    <row r="20" spans="1:7" x14ac:dyDescent="0.3">
      <c r="A20" s="3" t="s">
        <v>51</v>
      </c>
      <c r="B20" s="4">
        <v>4000.29</v>
      </c>
      <c r="C20" s="4">
        <v>5282.95</v>
      </c>
      <c r="D20" s="4">
        <v>4741.5600000000004</v>
      </c>
      <c r="E20" s="4">
        <v>4770.8100000000004</v>
      </c>
      <c r="F20" s="4">
        <v>6099.88</v>
      </c>
      <c r="G20" s="4">
        <v>5760.91</v>
      </c>
    </row>
    <row r="21" spans="1:7" x14ac:dyDescent="0.3">
      <c r="A21" s="3" t="s">
        <v>52</v>
      </c>
      <c r="B21" s="4">
        <v>2133.5700000000002</v>
      </c>
      <c r="C21" s="4">
        <v>315.42</v>
      </c>
      <c r="D21" s="4">
        <v>1144.31</v>
      </c>
      <c r="E21" s="4">
        <v>1206.21</v>
      </c>
      <c r="F21" s="4">
        <v>1074.26</v>
      </c>
      <c r="G21" s="4">
        <v>1569.45</v>
      </c>
    </row>
    <row r="22" spans="1:7" x14ac:dyDescent="0.3">
      <c r="A22" s="3" t="s">
        <v>53</v>
      </c>
      <c r="B22" s="4">
        <v>14574.68</v>
      </c>
      <c r="C22" s="4">
        <v>6198.47</v>
      </c>
      <c r="D22" s="4">
        <v>8710.34</v>
      </c>
      <c r="E22" s="4">
        <v>17628.87</v>
      </c>
      <c r="F22" s="4">
        <v>17900.060000000001</v>
      </c>
      <c r="G22" s="4">
        <v>17522.66</v>
      </c>
    </row>
    <row r="23" spans="1:7" x14ac:dyDescent="0.3">
      <c r="A23" s="3" t="s">
        <v>54</v>
      </c>
      <c r="B23" s="4">
        <v>523.47</v>
      </c>
      <c r="C23" s="4">
        <v>242.07</v>
      </c>
      <c r="D23" s="4">
        <v>237.07</v>
      </c>
      <c r="E23" s="4">
        <v>490.93</v>
      </c>
      <c r="F23" s="4">
        <v>592.71</v>
      </c>
      <c r="G23" s="4">
        <v>454.39</v>
      </c>
    </row>
    <row r="24" spans="1:7" x14ac:dyDescent="0.3">
      <c r="A24" s="3" t="s">
        <v>55</v>
      </c>
      <c r="B24" s="4">
        <v>2306.33</v>
      </c>
      <c r="C24" s="4">
        <v>4618.8900000000003</v>
      </c>
      <c r="D24" s="4">
        <v>5669.81</v>
      </c>
      <c r="E24" s="4">
        <v>4548.34</v>
      </c>
      <c r="F24" s="4">
        <v>4959.6099999999997</v>
      </c>
      <c r="G24" s="4">
        <v>9322.4599999999991</v>
      </c>
    </row>
    <row r="25" spans="1:7" x14ac:dyDescent="0.3">
      <c r="A25" s="17" t="s">
        <v>56</v>
      </c>
      <c r="B25" s="18">
        <v>33255.870000000003</v>
      </c>
      <c r="C25" s="18">
        <v>34467.870000000003</v>
      </c>
      <c r="D25" s="18">
        <v>37459.449999999997</v>
      </c>
      <c r="E25" s="18">
        <v>42690.84</v>
      </c>
      <c r="F25" s="18">
        <v>45643.14</v>
      </c>
      <c r="G25" s="18">
        <v>53926.44</v>
      </c>
    </row>
    <row r="26" spans="1:7" x14ac:dyDescent="0.3">
      <c r="A26" s="11" t="s">
        <v>57</v>
      </c>
      <c r="B26" s="12">
        <v>39204.44</v>
      </c>
      <c r="C26" s="12">
        <v>40975.269999999997</v>
      </c>
      <c r="D26" s="12">
        <v>46038.22</v>
      </c>
      <c r="E26" s="12">
        <v>52620.1</v>
      </c>
      <c r="F26" s="12">
        <v>58390.73</v>
      </c>
      <c r="G26" s="12">
        <v>68821.919999999998</v>
      </c>
    </row>
    <row r="27" spans="1:7" x14ac:dyDescent="0.3">
      <c r="A27" s="10" t="s">
        <v>58</v>
      </c>
      <c r="B27" s="4"/>
      <c r="C27" s="4"/>
      <c r="D27" s="4"/>
      <c r="E27" s="4"/>
      <c r="F27" s="4"/>
      <c r="G27" s="4"/>
    </row>
    <row r="28" spans="1:7" x14ac:dyDescent="0.3">
      <c r="A28" s="10" t="s">
        <v>59</v>
      </c>
      <c r="B28" s="4"/>
      <c r="C28" s="4"/>
      <c r="D28" s="4"/>
      <c r="E28" s="4"/>
      <c r="F28" s="4"/>
      <c r="G28" s="4"/>
    </row>
    <row r="29" spans="1:7" x14ac:dyDescent="0.3">
      <c r="A29" s="3" t="s">
        <v>60</v>
      </c>
      <c r="B29" s="4">
        <v>528.78</v>
      </c>
      <c r="C29" s="4">
        <v>528.78</v>
      </c>
      <c r="D29" s="4">
        <v>528.78</v>
      </c>
      <c r="E29" s="4">
        <v>528.78</v>
      </c>
      <c r="F29" s="4">
        <v>528.78</v>
      </c>
      <c r="G29" s="4">
        <v>528.78</v>
      </c>
    </row>
    <row r="30" spans="1:7" x14ac:dyDescent="0.3">
      <c r="A30" s="3" t="s">
        <v>61</v>
      </c>
      <c r="B30" s="4">
        <v>17233.66</v>
      </c>
      <c r="C30" s="4">
        <v>20789.2</v>
      </c>
      <c r="D30" s="4">
        <v>27084.25</v>
      </c>
      <c r="E30" s="4">
        <v>32819.24</v>
      </c>
      <c r="F30" s="4">
        <v>37795.72</v>
      </c>
      <c r="G30" s="4">
        <v>43995.81</v>
      </c>
    </row>
    <row r="31" spans="1:7" x14ac:dyDescent="0.3">
      <c r="A31" s="17" t="s">
        <v>62</v>
      </c>
      <c r="B31" s="18">
        <v>17762.439999999999</v>
      </c>
      <c r="C31" s="18">
        <v>21317.98</v>
      </c>
      <c r="D31" s="18">
        <v>27613.040000000001</v>
      </c>
      <c r="E31" s="18">
        <v>33348.019999999997</v>
      </c>
      <c r="F31" s="18">
        <v>38324.5</v>
      </c>
      <c r="G31" s="18">
        <v>44524.59</v>
      </c>
    </row>
    <row r="32" spans="1:7" x14ac:dyDescent="0.3">
      <c r="A32" s="10" t="s">
        <v>63</v>
      </c>
      <c r="B32" s="4"/>
      <c r="C32" s="4"/>
      <c r="D32" s="4"/>
      <c r="E32" s="4"/>
      <c r="F32" s="4"/>
      <c r="G32" s="4"/>
    </row>
    <row r="33" spans="1:7" x14ac:dyDescent="0.3">
      <c r="A33" s="10" t="s">
        <v>64</v>
      </c>
      <c r="B33" s="4"/>
      <c r="C33" s="4"/>
      <c r="D33" s="4"/>
      <c r="E33" s="4"/>
      <c r="F33" s="4"/>
      <c r="G33" s="4"/>
    </row>
    <row r="34" spans="1:7" x14ac:dyDescent="0.3">
      <c r="A34" s="26" t="s">
        <v>65</v>
      </c>
      <c r="B34" s="4"/>
      <c r="C34" s="4"/>
      <c r="D34" s="4"/>
      <c r="E34" s="4"/>
      <c r="F34" s="4"/>
      <c r="G34" s="4"/>
    </row>
    <row r="35" spans="1:7" x14ac:dyDescent="0.3">
      <c r="A35" s="3" t="s">
        <v>66</v>
      </c>
      <c r="B35" s="4">
        <v>2305.7600000000002</v>
      </c>
      <c r="C35" s="4">
        <v>3437.12</v>
      </c>
      <c r="D35" s="4">
        <v>2077.63</v>
      </c>
      <c r="E35" s="4">
        <v>1347.56</v>
      </c>
      <c r="F35" s="4">
        <v>1625.45</v>
      </c>
      <c r="G35" s="4">
        <v>2041.62</v>
      </c>
    </row>
    <row r="36" spans="1:7" x14ac:dyDescent="0.3">
      <c r="A36" s="3" t="s">
        <v>67</v>
      </c>
      <c r="B36" s="4">
        <v>0</v>
      </c>
      <c r="C36" s="4">
        <v>0</v>
      </c>
      <c r="D36" s="4">
        <v>124.97</v>
      </c>
      <c r="E36" s="4">
        <v>51.27</v>
      </c>
      <c r="F36" s="4">
        <v>76.56</v>
      </c>
      <c r="G36" s="4">
        <v>105.26</v>
      </c>
    </row>
    <row r="37" spans="1:7" x14ac:dyDescent="0.3">
      <c r="A37" s="3" t="s">
        <v>68</v>
      </c>
      <c r="B37" s="4">
        <v>562.07000000000005</v>
      </c>
      <c r="C37" s="4">
        <v>618.39</v>
      </c>
      <c r="D37" s="4">
        <v>843.92</v>
      </c>
      <c r="E37" s="4">
        <v>895.69</v>
      </c>
      <c r="F37" s="4">
        <v>830.86</v>
      </c>
      <c r="G37" s="4">
        <v>792.95</v>
      </c>
    </row>
    <row r="38" spans="1:7" x14ac:dyDescent="0.3">
      <c r="A38" s="3" t="s">
        <v>69</v>
      </c>
      <c r="B38" s="4">
        <v>0</v>
      </c>
      <c r="C38" s="4">
        <v>0</v>
      </c>
      <c r="D38" s="4">
        <v>0</v>
      </c>
      <c r="E38" s="4">
        <v>0</v>
      </c>
      <c r="F38" s="4">
        <v>0</v>
      </c>
      <c r="G38" s="4">
        <v>45.88</v>
      </c>
    </row>
    <row r="39" spans="1:7" x14ac:dyDescent="0.3">
      <c r="A39" s="17" t="s">
        <v>70</v>
      </c>
      <c r="B39" s="18">
        <v>2867.83</v>
      </c>
      <c r="C39" s="18">
        <v>4055.51</v>
      </c>
      <c r="D39" s="18">
        <v>3046.52</v>
      </c>
      <c r="E39" s="18">
        <v>2294.52</v>
      </c>
      <c r="F39" s="18">
        <v>2532.87</v>
      </c>
      <c r="G39" s="18">
        <v>2985.72</v>
      </c>
    </row>
    <row r="40" spans="1:7" x14ac:dyDescent="0.3">
      <c r="A40" s="10" t="s">
        <v>71</v>
      </c>
      <c r="B40" s="4"/>
      <c r="C40" s="4"/>
      <c r="D40" s="4"/>
      <c r="E40" s="4"/>
      <c r="F40" s="4"/>
      <c r="G40" s="4"/>
    </row>
    <row r="41" spans="1:7" x14ac:dyDescent="0.3">
      <c r="A41" s="26" t="s">
        <v>65</v>
      </c>
      <c r="B41" s="4"/>
      <c r="C41" s="4"/>
      <c r="D41" s="4"/>
      <c r="E41" s="4"/>
      <c r="F41" s="4"/>
      <c r="G41" s="4"/>
    </row>
    <row r="42" spans="1:7" x14ac:dyDescent="0.3">
      <c r="A42" s="3" t="s">
        <v>66</v>
      </c>
      <c r="B42" s="4">
        <v>1447.01</v>
      </c>
      <c r="C42" s="4">
        <v>902.71</v>
      </c>
      <c r="D42" s="4">
        <v>2153.52</v>
      </c>
      <c r="E42" s="4">
        <v>1788.33</v>
      </c>
      <c r="F42" s="4">
        <v>687.18</v>
      </c>
      <c r="G42" s="4">
        <v>897.19</v>
      </c>
    </row>
    <row r="43" spans="1:7" x14ac:dyDescent="0.3">
      <c r="A43" s="3" t="s">
        <v>72</v>
      </c>
      <c r="B43" s="4">
        <v>774.79</v>
      </c>
      <c r="C43" s="4">
        <v>2488.83</v>
      </c>
      <c r="D43" s="4">
        <v>1659.36</v>
      </c>
      <c r="E43" s="4">
        <v>2383.9</v>
      </c>
      <c r="F43" s="4">
        <v>3458.73</v>
      </c>
      <c r="G43" s="4">
        <v>3705.41</v>
      </c>
    </row>
    <row r="44" spans="1:7" x14ac:dyDescent="0.3">
      <c r="A44" s="3" t="s">
        <v>73</v>
      </c>
      <c r="B44" s="4">
        <v>6880.6</v>
      </c>
      <c r="C44" s="4">
        <v>4722.8</v>
      </c>
      <c r="D44" s="4">
        <v>4388.55</v>
      </c>
      <c r="E44" s="4">
        <v>4488.53</v>
      </c>
      <c r="F44" s="4">
        <v>4450.9399999999996</v>
      </c>
      <c r="G44" s="4">
        <v>5939</v>
      </c>
    </row>
    <row r="45" spans="1:7" x14ac:dyDescent="0.3">
      <c r="A45" s="3" t="s">
        <v>74</v>
      </c>
      <c r="B45" s="4">
        <v>4490.58</v>
      </c>
      <c r="C45" s="4">
        <v>4179.3900000000003</v>
      </c>
      <c r="D45" s="4">
        <v>3936.55</v>
      </c>
      <c r="E45" s="4">
        <v>4983.1400000000003</v>
      </c>
      <c r="F45" s="4">
        <v>5142.97</v>
      </c>
      <c r="G45" s="4">
        <v>5572.98</v>
      </c>
    </row>
    <row r="46" spans="1:7" ht="28.8" customHeight="1" x14ac:dyDescent="0.3">
      <c r="A46" s="3" t="s">
        <v>75</v>
      </c>
      <c r="B46" s="4">
        <v>4722.1400000000003</v>
      </c>
      <c r="C46" s="4">
        <v>3095.98</v>
      </c>
      <c r="D46" s="4">
        <v>2876.28</v>
      </c>
      <c r="E46" s="4">
        <v>2801</v>
      </c>
      <c r="F46" s="4">
        <v>3439.08</v>
      </c>
      <c r="G46" s="4">
        <v>4549.33</v>
      </c>
    </row>
    <row r="47" spans="1:7" ht="28.8" customHeight="1" x14ac:dyDescent="0.3">
      <c r="A47" s="3" t="s">
        <v>68</v>
      </c>
      <c r="B47" s="4">
        <v>133.84</v>
      </c>
      <c r="C47" s="4">
        <v>161.04</v>
      </c>
      <c r="D47" s="4">
        <v>364.41</v>
      </c>
      <c r="E47" s="4">
        <v>329.91</v>
      </c>
      <c r="F47" s="4">
        <v>273.02</v>
      </c>
      <c r="G47" s="4">
        <v>270.47000000000003</v>
      </c>
    </row>
    <row r="48" spans="1:7" x14ac:dyDescent="0.3">
      <c r="A48" s="3" t="s">
        <v>76</v>
      </c>
      <c r="B48" s="4">
        <v>125.21</v>
      </c>
      <c r="C48" s="4">
        <v>51.03</v>
      </c>
      <c r="D48" s="4">
        <v>0</v>
      </c>
      <c r="E48" s="4">
        <v>202.75</v>
      </c>
      <c r="F48" s="4">
        <v>81.45</v>
      </c>
      <c r="G48" s="4">
        <v>377.22</v>
      </c>
    </row>
    <row r="49" spans="1:7" x14ac:dyDescent="0.3">
      <c r="A49" s="17" t="s">
        <v>77</v>
      </c>
      <c r="B49" s="18">
        <v>18574.16</v>
      </c>
      <c r="C49" s="18">
        <v>15601.78</v>
      </c>
      <c r="D49" s="18">
        <v>15378.67</v>
      </c>
      <c r="E49" s="18">
        <v>16977.560000000001</v>
      </c>
      <c r="F49" s="18">
        <v>17533.36</v>
      </c>
      <c r="G49" s="18">
        <v>21311.599999999999</v>
      </c>
    </row>
    <row r="50" spans="1:7" x14ac:dyDescent="0.3">
      <c r="A50" s="11" t="s">
        <v>78</v>
      </c>
      <c r="B50" s="12">
        <v>39204.44</v>
      </c>
      <c r="C50" s="12">
        <v>40975.269999999997</v>
      </c>
      <c r="D50" s="12">
        <v>46038.22</v>
      </c>
      <c r="E50" s="12">
        <v>52620.1</v>
      </c>
      <c r="F50" s="12">
        <v>58390.73</v>
      </c>
      <c r="G50" s="12">
        <v>68821.919999999998</v>
      </c>
    </row>
    <row r="51" spans="1:7" x14ac:dyDescent="0.3">
      <c r="A51" s="3"/>
      <c r="B51" s="4"/>
      <c r="C51" s="4"/>
    </row>
    <row r="52" spans="1:7" x14ac:dyDescent="0.3">
      <c r="A52" s="5"/>
      <c r="B52" s="4"/>
      <c r="C52" s="4"/>
      <c r="F52" s="1"/>
      <c r="G52" s="1"/>
    </row>
    <row r="53" spans="1:7" x14ac:dyDescent="0.3">
      <c r="A53" s="5"/>
      <c r="B53" s="4"/>
      <c r="C53" s="4"/>
      <c r="F53" s="1"/>
      <c r="G53" s="1"/>
    </row>
  </sheetData>
  <mergeCells count="2">
    <mergeCell ref="A2:G2"/>
    <mergeCell ref="A1:G1"/>
  </mergeCells>
  <pageMargins left="0.75" right="0.75" top="1" bottom="1" header="0.5" footer="0.5"/>
  <pageSetup fitToHeight="0"/>
  <extLst>
    <ext xmlns:x14="http://schemas.microsoft.com/office/spreadsheetml/2009/9/main" uri="{05C60535-1F16-4fd2-B633-F4F36F0B64E0}">
      <x14:sparklineGroups xmlns:xm="http://schemas.microsoft.com/office/excel/2006/main">
        <x14:sparklineGroup displayEmptyCellsAs="gap" xr2:uid="{C67A2F1A-53F8-4098-B732-19E8A717432B}">
          <x14:colorSeries rgb="FF376092"/>
          <x14:colorNegative rgb="FFD00000"/>
          <x14:colorAxis rgb="FF000000"/>
          <x14:colorMarkers rgb="FFD00000"/>
          <x14:colorFirst rgb="FFD00000"/>
          <x14:colorLast rgb="FFD00000"/>
          <x14:colorHigh rgb="FFD00000"/>
          <x14:colorLow rgb="FFD00000"/>
          <x14:sparklines>
            <x14:sparkline>
              <xm:f>'Balance Sheet'!H7:L7</xm:f>
              <xm:sqref>M7</xm:sqref>
            </x14:sparkline>
          </x14:sparklines>
        </x14:sparklineGroup>
      </x14:sparklineGroup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59999389629810485"/>
    <pageSetUpPr fitToPage="1"/>
  </sheetPr>
  <dimension ref="A1:G53"/>
  <sheetViews>
    <sheetView showGridLines="0" topLeftCell="A14" zoomScale="78" workbookViewId="0">
      <selection activeCell="G32" sqref="G32:G33"/>
    </sheetView>
  </sheetViews>
  <sheetFormatPr defaultRowHeight="14.4" x14ac:dyDescent="0.3"/>
  <cols>
    <col min="1" max="1" width="75" customWidth="1"/>
    <col min="2" max="7" width="16" customWidth="1"/>
  </cols>
  <sheetData>
    <row r="1" spans="1:7" ht="18" customHeight="1" x14ac:dyDescent="0.35">
      <c r="A1" s="221" t="s">
        <v>79</v>
      </c>
      <c r="B1" s="222"/>
      <c r="C1" s="222"/>
      <c r="D1" s="222"/>
      <c r="E1" s="222"/>
      <c r="F1" s="222"/>
      <c r="G1" s="222"/>
    </row>
    <row r="2" spans="1:7" x14ac:dyDescent="0.3">
      <c r="A2" s="238" t="s">
        <v>1</v>
      </c>
      <c r="B2" s="222"/>
      <c r="C2" s="222"/>
      <c r="D2" s="222"/>
      <c r="E2" s="222"/>
      <c r="F2" s="222"/>
      <c r="G2" s="222"/>
    </row>
    <row r="4" spans="1:7" x14ac:dyDescent="0.3">
      <c r="A4" s="9" t="s">
        <v>2</v>
      </c>
      <c r="B4" s="9" t="s">
        <v>3</v>
      </c>
      <c r="C4" s="9" t="s">
        <v>4</v>
      </c>
      <c r="D4" s="9" t="s">
        <v>5</v>
      </c>
      <c r="E4" s="9" t="s">
        <v>6</v>
      </c>
      <c r="F4" s="9" t="s">
        <v>7</v>
      </c>
      <c r="G4" s="9" t="s">
        <v>8</v>
      </c>
    </row>
    <row r="5" spans="1:7" x14ac:dyDescent="0.3">
      <c r="A5" s="10" t="s">
        <v>80</v>
      </c>
      <c r="B5" s="4"/>
      <c r="C5" s="4"/>
      <c r="D5" s="4"/>
      <c r="E5" s="4"/>
      <c r="F5" s="4"/>
      <c r="G5" s="4"/>
    </row>
    <row r="6" spans="1:7" x14ac:dyDescent="0.3">
      <c r="A6" s="3" t="s">
        <v>22</v>
      </c>
      <c r="B6" s="4">
        <v>10806.26</v>
      </c>
      <c r="C6" s="4">
        <v>11290.64</v>
      </c>
      <c r="D6" s="4">
        <v>12691.09</v>
      </c>
      <c r="E6" s="4">
        <v>14754.92</v>
      </c>
      <c r="F6" s="4">
        <v>15487.3</v>
      </c>
      <c r="G6" s="4">
        <v>17661.68</v>
      </c>
    </row>
    <row r="7" spans="1:7" x14ac:dyDescent="0.3">
      <c r="A7" s="3" t="s">
        <v>81</v>
      </c>
      <c r="B7" s="4"/>
      <c r="C7" s="4"/>
      <c r="D7" s="4"/>
      <c r="E7" s="4"/>
      <c r="F7" s="4"/>
      <c r="G7" s="4"/>
    </row>
    <row r="8" spans="1:7" x14ac:dyDescent="0.3">
      <c r="A8" s="3" t="s">
        <v>19</v>
      </c>
      <c r="B8" s="4">
        <v>533.14</v>
      </c>
      <c r="C8" s="4">
        <v>665.71</v>
      </c>
      <c r="D8" s="4">
        <v>771.96</v>
      </c>
      <c r="E8" s="4">
        <v>868.39</v>
      </c>
      <c r="F8" s="4">
        <v>1029.1600000000001</v>
      </c>
      <c r="G8" s="4">
        <v>1359.61</v>
      </c>
    </row>
    <row r="9" spans="1:7" x14ac:dyDescent="0.3">
      <c r="A9" s="3" t="s">
        <v>82</v>
      </c>
      <c r="B9" s="4">
        <v>-12.63</v>
      </c>
      <c r="C9" s="4">
        <v>-10.69</v>
      </c>
      <c r="D9" s="4">
        <v>-1.08</v>
      </c>
      <c r="E9" s="4">
        <v>4.05</v>
      </c>
      <c r="F9" s="4">
        <v>-0.51</v>
      </c>
      <c r="G9" s="4">
        <v>-2.37</v>
      </c>
    </row>
    <row r="10" spans="1:7" x14ac:dyDescent="0.3">
      <c r="A10" s="3" t="s">
        <v>83</v>
      </c>
      <c r="B10" s="4">
        <v>-650.75</v>
      </c>
      <c r="C10" s="4">
        <v>-564.6</v>
      </c>
      <c r="D10" s="4">
        <v>-406.89</v>
      </c>
      <c r="E10" s="4">
        <v>-1047</v>
      </c>
      <c r="F10" s="4">
        <v>-1322.95</v>
      </c>
      <c r="G10" s="4">
        <v>-1296.42</v>
      </c>
    </row>
    <row r="11" spans="1:7" x14ac:dyDescent="0.3">
      <c r="A11" s="3" t="s">
        <v>84</v>
      </c>
      <c r="B11" s="4">
        <v>0</v>
      </c>
      <c r="C11" s="4">
        <v>-0.05</v>
      </c>
      <c r="D11" s="4">
        <v>-0.05</v>
      </c>
      <c r="E11" s="4">
        <v>-0.04</v>
      </c>
      <c r="F11" s="4">
        <v>-0.04</v>
      </c>
      <c r="G11" s="4">
        <v>-0.04</v>
      </c>
    </row>
    <row r="12" spans="1:7" x14ac:dyDescent="0.3">
      <c r="A12" s="3" t="s">
        <v>18</v>
      </c>
      <c r="B12" s="4">
        <v>473.48</v>
      </c>
      <c r="C12" s="4">
        <v>605.71</v>
      </c>
      <c r="D12" s="4">
        <v>486.31</v>
      </c>
      <c r="E12" s="4">
        <v>455.02</v>
      </c>
      <c r="F12" s="4">
        <v>290.31</v>
      </c>
      <c r="G12" s="4">
        <v>352.88</v>
      </c>
    </row>
    <row r="13" spans="1:7" x14ac:dyDescent="0.3">
      <c r="A13" s="17" t="s">
        <v>85</v>
      </c>
      <c r="B13" s="18">
        <v>11149.5</v>
      </c>
      <c r="C13" s="18">
        <v>11986.71</v>
      </c>
      <c r="D13" s="18">
        <v>13541.34</v>
      </c>
      <c r="E13" s="18">
        <v>15035.34</v>
      </c>
      <c r="F13" s="18">
        <v>15483.27</v>
      </c>
      <c r="G13" s="18">
        <v>18075.34</v>
      </c>
    </row>
    <row r="14" spans="1:7" x14ac:dyDescent="0.3">
      <c r="A14" s="3" t="s">
        <v>86</v>
      </c>
      <c r="B14" s="4"/>
      <c r="C14" s="4"/>
      <c r="D14" s="4"/>
      <c r="E14" s="4"/>
      <c r="F14" s="4"/>
      <c r="G14" s="4"/>
    </row>
    <row r="15" spans="1:7" x14ac:dyDescent="0.3">
      <c r="A15" s="3" t="s">
        <v>87</v>
      </c>
      <c r="B15" s="4"/>
      <c r="C15" s="4"/>
      <c r="D15" s="4"/>
      <c r="E15" s="4"/>
      <c r="F15" s="4"/>
      <c r="G15" s="4"/>
    </row>
    <row r="16" spans="1:7" x14ac:dyDescent="0.3">
      <c r="A16" s="3" t="s">
        <v>50</v>
      </c>
      <c r="B16" s="4">
        <v>3583.74</v>
      </c>
      <c r="C16" s="4">
        <v>-8092.53</v>
      </c>
      <c r="D16" s="4">
        <v>853.7</v>
      </c>
      <c r="E16" s="4">
        <v>2910.69</v>
      </c>
      <c r="F16" s="4">
        <v>-970.96</v>
      </c>
      <c r="G16" s="4">
        <v>-4279.9399999999996</v>
      </c>
    </row>
    <row r="17" spans="1:7" x14ac:dyDescent="0.3">
      <c r="A17" s="3" t="s">
        <v>51</v>
      </c>
      <c r="B17" s="4">
        <v>1021.02</v>
      </c>
      <c r="C17" s="4">
        <v>-1282.67</v>
      </c>
      <c r="D17" s="4">
        <v>541.39</v>
      </c>
      <c r="E17" s="4">
        <v>-29.25</v>
      </c>
      <c r="F17" s="4">
        <v>-1329.07</v>
      </c>
      <c r="G17" s="4">
        <v>338.96</v>
      </c>
    </row>
    <row r="18" spans="1:7" x14ac:dyDescent="0.3">
      <c r="A18" s="3" t="s">
        <v>54</v>
      </c>
      <c r="B18" s="4">
        <v>-36.340000000000003</v>
      </c>
      <c r="C18" s="4">
        <v>30.02</v>
      </c>
      <c r="D18" s="4">
        <v>46.86</v>
      </c>
      <c r="E18" s="4">
        <v>14.89</v>
      </c>
      <c r="F18" s="4">
        <v>-19.07</v>
      </c>
      <c r="G18" s="4">
        <v>17.100000000000001</v>
      </c>
    </row>
    <row r="19" spans="1:7" x14ac:dyDescent="0.3">
      <c r="A19" s="3" t="s">
        <v>55</v>
      </c>
      <c r="B19" s="4">
        <v>-6.67</v>
      </c>
      <c r="C19" s="4">
        <v>-2312.56</v>
      </c>
      <c r="D19" s="4">
        <v>-1050.93</v>
      </c>
      <c r="E19" s="4">
        <v>1121.47</v>
      </c>
      <c r="F19" s="4">
        <v>-411.27</v>
      </c>
      <c r="G19" s="4">
        <v>-4362.8500000000004</v>
      </c>
    </row>
    <row r="20" spans="1:7" x14ac:dyDescent="0.3">
      <c r="A20" s="3" t="s">
        <v>44</v>
      </c>
      <c r="B20" s="4">
        <v>-7.55</v>
      </c>
      <c r="C20" s="4">
        <v>-15.85</v>
      </c>
      <c r="D20" s="4">
        <v>-51.87</v>
      </c>
      <c r="E20" s="4">
        <v>-13.5</v>
      </c>
      <c r="F20" s="4">
        <v>-40.200000000000003</v>
      </c>
      <c r="G20" s="4">
        <v>-8.1</v>
      </c>
    </row>
    <row r="21" spans="1:7" x14ac:dyDescent="0.3">
      <c r="A21" s="3" t="s">
        <v>47</v>
      </c>
      <c r="B21" s="4">
        <v>37.76</v>
      </c>
      <c r="C21" s="4">
        <v>-144.87</v>
      </c>
      <c r="D21" s="4">
        <v>-133.41999999999999</v>
      </c>
      <c r="E21" s="4">
        <v>-0.6</v>
      </c>
      <c r="F21" s="4">
        <v>-33.200000000000003</v>
      </c>
      <c r="G21" s="4">
        <v>-26.9</v>
      </c>
    </row>
    <row r="22" spans="1:7" x14ac:dyDescent="0.3">
      <c r="A22" s="3" t="s">
        <v>88</v>
      </c>
      <c r="B22" s="4"/>
      <c r="C22" s="4"/>
      <c r="D22" s="4"/>
      <c r="E22" s="4"/>
      <c r="F22" s="4"/>
      <c r="G22" s="4"/>
    </row>
    <row r="23" spans="1:7" x14ac:dyDescent="0.3">
      <c r="A23" s="3" t="s">
        <v>89</v>
      </c>
      <c r="B23" s="4">
        <v>2724.53</v>
      </c>
      <c r="C23" s="4">
        <v>-443.75</v>
      </c>
      <c r="D23" s="4">
        <v>-1036.98</v>
      </c>
      <c r="E23" s="4">
        <v>824.53</v>
      </c>
      <c r="F23" s="4">
        <v>1037.24</v>
      </c>
      <c r="G23" s="4">
        <v>1734.73</v>
      </c>
    </row>
    <row r="24" spans="1:7" x14ac:dyDescent="0.3">
      <c r="A24" s="3" t="s">
        <v>90</v>
      </c>
      <c r="B24" s="4">
        <v>164.43</v>
      </c>
      <c r="C24" s="4">
        <v>56.32</v>
      </c>
      <c r="D24" s="4">
        <v>225.53</v>
      </c>
      <c r="E24" s="4">
        <v>51.77</v>
      </c>
      <c r="F24" s="4">
        <v>-64.83</v>
      </c>
      <c r="G24" s="4">
        <v>-97.47</v>
      </c>
    </row>
    <row r="25" spans="1:7" x14ac:dyDescent="0.3">
      <c r="A25" s="3" t="s">
        <v>91</v>
      </c>
      <c r="B25" s="4">
        <v>-33.5</v>
      </c>
      <c r="C25" s="4">
        <v>27.2</v>
      </c>
      <c r="D25" s="4">
        <v>203.37</v>
      </c>
      <c r="E25" s="4">
        <v>-34.5</v>
      </c>
      <c r="F25" s="4">
        <v>-56.89</v>
      </c>
      <c r="G25" s="4">
        <v>-2.5499999999999998</v>
      </c>
    </row>
    <row r="26" spans="1:7" x14ac:dyDescent="0.3">
      <c r="A26" s="3" t="s">
        <v>74</v>
      </c>
      <c r="B26" s="4">
        <v>662.2</v>
      </c>
      <c r="C26" s="4">
        <v>-387.76</v>
      </c>
      <c r="D26" s="4">
        <v>-374.86</v>
      </c>
      <c r="E26" s="4">
        <v>1195.77</v>
      </c>
      <c r="F26" s="4">
        <v>106.65</v>
      </c>
      <c r="G26" s="4">
        <v>406.47</v>
      </c>
    </row>
    <row r="27" spans="1:7" x14ac:dyDescent="0.3">
      <c r="A27" s="3" t="s">
        <v>75</v>
      </c>
      <c r="B27" s="4">
        <v>2246.9699999999998</v>
      </c>
      <c r="C27" s="4">
        <v>-1626.16</v>
      </c>
      <c r="D27" s="4">
        <v>-219.7</v>
      </c>
      <c r="E27" s="4">
        <v>-75.28</v>
      </c>
      <c r="F27" s="4">
        <v>638.08000000000004</v>
      </c>
      <c r="G27" s="4">
        <v>1110.25</v>
      </c>
    </row>
    <row r="28" spans="1:7" x14ac:dyDescent="0.3">
      <c r="A28" s="17" t="s">
        <v>92</v>
      </c>
      <c r="B28" s="18">
        <v>21506.09</v>
      </c>
      <c r="C28" s="18">
        <v>-2205.88</v>
      </c>
      <c r="D28" s="18">
        <v>12544.43</v>
      </c>
      <c r="E28" s="18">
        <v>21001.32</v>
      </c>
      <c r="F28" s="18">
        <v>14339.76</v>
      </c>
      <c r="G28" s="18">
        <v>12905.06</v>
      </c>
    </row>
    <row r="29" spans="1:7" x14ac:dyDescent="0.3">
      <c r="A29" s="3" t="s">
        <v>93</v>
      </c>
      <c r="B29" s="4">
        <v>-2612.1799999999998</v>
      </c>
      <c r="C29" s="4">
        <v>-3009.27</v>
      </c>
      <c r="D29" s="4">
        <v>-3317.93</v>
      </c>
      <c r="E29" s="4">
        <v>-3575.34</v>
      </c>
      <c r="F29" s="4">
        <v>-4148.51</v>
      </c>
      <c r="G29" s="4">
        <v>-4145.72</v>
      </c>
    </row>
    <row r="30" spans="1:7" x14ac:dyDescent="0.3">
      <c r="A30" s="11" t="s">
        <v>94</v>
      </c>
      <c r="B30" s="12">
        <v>18893.91</v>
      </c>
      <c r="C30" s="12">
        <v>-5215.1499999999996</v>
      </c>
      <c r="D30" s="12">
        <v>9226.51</v>
      </c>
      <c r="E30" s="12">
        <v>17425.990000000002</v>
      </c>
      <c r="F30" s="12">
        <v>10191.25</v>
      </c>
      <c r="G30" s="12">
        <v>8759.34</v>
      </c>
    </row>
    <row r="31" spans="1:7" x14ac:dyDescent="0.3">
      <c r="A31" s="10" t="s">
        <v>95</v>
      </c>
      <c r="B31" s="4"/>
      <c r="C31" s="4"/>
      <c r="D31" s="4"/>
      <c r="E31" s="4"/>
      <c r="F31" s="4"/>
      <c r="G31" s="4"/>
    </row>
    <row r="32" spans="1:7" x14ac:dyDescent="0.3">
      <c r="A32" s="3" t="s">
        <v>96</v>
      </c>
      <c r="B32" s="4">
        <v>-1406.69</v>
      </c>
      <c r="C32" s="4">
        <v>-2011.25</v>
      </c>
      <c r="D32" s="4">
        <v>-2014.55</v>
      </c>
      <c r="E32" s="4">
        <v>-2564.88</v>
      </c>
      <c r="F32" s="4">
        <v>-3273.87</v>
      </c>
      <c r="G32" s="4">
        <v>-3937.88</v>
      </c>
    </row>
    <row r="33" spans="1:7" x14ac:dyDescent="0.3">
      <c r="A33" s="3" t="s">
        <v>97</v>
      </c>
      <c r="B33" s="4">
        <v>18.02</v>
      </c>
      <c r="C33" s="4">
        <v>21.71</v>
      </c>
      <c r="D33" s="4">
        <v>11.47</v>
      </c>
      <c r="E33" s="4">
        <v>2.64</v>
      </c>
      <c r="F33" s="4">
        <v>9.0500000000000007</v>
      </c>
      <c r="G33" s="4">
        <v>26.27</v>
      </c>
    </row>
    <row r="34" spans="1:7" x14ac:dyDescent="0.3">
      <c r="A34" s="3" t="s">
        <v>98</v>
      </c>
      <c r="B34" s="4">
        <v>-10917.58</v>
      </c>
      <c r="C34" s="4">
        <v>9371.2000000000007</v>
      </c>
      <c r="D34" s="4">
        <v>-3108.86</v>
      </c>
      <c r="E34" s="4">
        <v>-8571.5400000000009</v>
      </c>
      <c r="F34" s="4">
        <v>-721.18</v>
      </c>
      <c r="G34" s="4">
        <v>788.54</v>
      </c>
    </row>
    <row r="35" spans="1:7" x14ac:dyDescent="0.3">
      <c r="A35" s="3" t="s">
        <v>99</v>
      </c>
      <c r="B35" s="4">
        <v>367.37</v>
      </c>
      <c r="C35" s="4">
        <v>815.99</v>
      </c>
      <c r="D35" s="4">
        <v>365.02</v>
      </c>
      <c r="E35" s="4">
        <v>778.25</v>
      </c>
      <c r="F35" s="4">
        <v>1240.25</v>
      </c>
      <c r="G35" s="4">
        <v>1417.63</v>
      </c>
    </row>
    <row r="36" spans="1:7" x14ac:dyDescent="0.3">
      <c r="A36" s="3" t="s">
        <v>100</v>
      </c>
      <c r="B36" s="4">
        <v>0</v>
      </c>
      <c r="C36" s="4">
        <v>0.05</v>
      </c>
      <c r="D36" s="4">
        <v>0.05</v>
      </c>
      <c r="E36" s="4">
        <v>0.04</v>
      </c>
      <c r="F36" s="4">
        <v>0.04</v>
      </c>
      <c r="G36" s="4">
        <v>0.04</v>
      </c>
    </row>
    <row r="37" spans="1:7" x14ac:dyDescent="0.3">
      <c r="A37" s="11" t="s">
        <v>101</v>
      </c>
      <c r="B37" s="12">
        <v>-11938.89</v>
      </c>
      <c r="C37" s="12">
        <v>8197.7000000000007</v>
      </c>
      <c r="D37" s="12">
        <v>-4746.87</v>
      </c>
      <c r="E37" s="12">
        <v>-10355.49</v>
      </c>
      <c r="F37" s="12">
        <v>-2745.71</v>
      </c>
      <c r="G37" s="12">
        <v>-1705.39</v>
      </c>
    </row>
    <row r="38" spans="1:7" x14ac:dyDescent="0.3">
      <c r="A38" s="10" t="s">
        <v>102</v>
      </c>
      <c r="B38" s="4"/>
      <c r="C38" s="4"/>
      <c r="D38" s="4"/>
      <c r="E38" s="4"/>
      <c r="F38" s="4"/>
      <c r="G38" s="4"/>
    </row>
    <row r="39" spans="1:7" x14ac:dyDescent="0.3">
      <c r="A39" s="3" t="s">
        <v>103</v>
      </c>
      <c r="B39" s="4">
        <v>-563.76</v>
      </c>
      <c r="C39" s="4">
        <v>-610.17999999999995</v>
      </c>
      <c r="D39" s="4">
        <v>-333.47</v>
      </c>
      <c r="E39" s="4">
        <v>-589.29999999999995</v>
      </c>
      <c r="F39" s="4">
        <v>-396.92</v>
      </c>
      <c r="G39" s="4">
        <v>-310.77999999999997</v>
      </c>
    </row>
    <row r="40" spans="1:7" x14ac:dyDescent="0.3">
      <c r="A40" s="3" t="s">
        <v>104</v>
      </c>
      <c r="B40" s="4">
        <v>-4242.05</v>
      </c>
      <c r="C40" s="4">
        <v>-4777.57</v>
      </c>
      <c r="D40" s="4">
        <v>-3208.6</v>
      </c>
      <c r="E40" s="4">
        <v>-5324.03</v>
      </c>
      <c r="F40" s="4">
        <v>-6357.3</v>
      </c>
      <c r="G40" s="4">
        <v>-6874.16</v>
      </c>
    </row>
    <row r="41" spans="1:7" x14ac:dyDescent="0.3">
      <c r="A41" s="3" t="s">
        <v>105</v>
      </c>
      <c r="B41" s="4">
        <v>1289.05</v>
      </c>
      <c r="C41" s="4">
        <v>1068.83</v>
      </c>
      <c r="D41" s="4">
        <v>525.84</v>
      </c>
      <c r="E41" s="4">
        <v>484.31</v>
      </c>
      <c r="F41" s="4">
        <v>415.75</v>
      </c>
      <c r="G41" s="4">
        <v>850.91</v>
      </c>
    </row>
    <row r="42" spans="1:7" x14ac:dyDescent="0.3">
      <c r="A42" s="3" t="s">
        <v>106</v>
      </c>
      <c r="B42" s="4">
        <v>-499.02</v>
      </c>
      <c r="C42" s="4">
        <v>-809.04</v>
      </c>
      <c r="D42" s="4">
        <v>-308.57</v>
      </c>
      <c r="E42" s="4">
        <v>-1578.25</v>
      </c>
      <c r="F42" s="4">
        <v>-1239.01</v>
      </c>
      <c r="G42" s="4">
        <v>-224.73</v>
      </c>
    </row>
    <row r="43" spans="1:7" x14ac:dyDescent="0.3">
      <c r="A43" s="11" t="s">
        <v>107</v>
      </c>
      <c r="B43" s="12">
        <v>-4015.77</v>
      </c>
      <c r="C43" s="12">
        <v>-5127.96</v>
      </c>
      <c r="D43" s="12">
        <v>-3324.81</v>
      </c>
      <c r="E43" s="12">
        <v>-7007.27</v>
      </c>
      <c r="F43" s="12">
        <v>-7577.48</v>
      </c>
      <c r="G43" s="12">
        <v>-6558.76</v>
      </c>
    </row>
    <row r="44" spans="1:7" x14ac:dyDescent="0.3">
      <c r="A44" s="11" t="s">
        <v>108</v>
      </c>
      <c r="B44" s="12">
        <v>2939.25</v>
      </c>
      <c r="C44" s="12">
        <v>-2145.41</v>
      </c>
      <c r="D44" s="12">
        <v>1154.83</v>
      </c>
      <c r="E44" s="12">
        <v>63.22</v>
      </c>
      <c r="F44" s="12">
        <v>-131.94999999999999</v>
      </c>
      <c r="G44" s="12">
        <v>495.19</v>
      </c>
    </row>
    <row r="45" spans="1:7" x14ac:dyDescent="0.3">
      <c r="A45" s="3" t="s">
        <v>109</v>
      </c>
      <c r="B45" s="4">
        <v>-805.68</v>
      </c>
      <c r="C45" s="4">
        <v>2133.5700000000002</v>
      </c>
      <c r="D45" s="4">
        <v>-11.84</v>
      </c>
      <c r="E45" s="4">
        <v>1142.99</v>
      </c>
      <c r="F45" s="4">
        <v>1206.21</v>
      </c>
      <c r="G45" s="4">
        <v>1074.26</v>
      </c>
    </row>
    <row r="46" spans="1:7" x14ac:dyDescent="0.3">
      <c r="A46" s="3" t="s">
        <v>110</v>
      </c>
      <c r="B46" s="4">
        <v>2133.5700000000002</v>
      </c>
      <c r="C46" s="4">
        <v>-11.84</v>
      </c>
      <c r="D46" s="4">
        <v>1142.99</v>
      </c>
      <c r="E46" s="4">
        <v>1206.21</v>
      </c>
      <c r="F46" s="4">
        <v>1074.26</v>
      </c>
      <c r="G46" s="4">
        <v>1569.45</v>
      </c>
    </row>
    <row r="47" spans="1:7" x14ac:dyDescent="0.3">
      <c r="A47" s="11" t="s">
        <v>111</v>
      </c>
      <c r="B47" s="12">
        <v>2939.25</v>
      </c>
      <c r="C47" s="12">
        <v>-2145.41</v>
      </c>
      <c r="D47" s="12">
        <v>1154.83</v>
      </c>
      <c r="E47" s="12">
        <v>63.22</v>
      </c>
      <c r="F47" s="12">
        <v>-131.94999999999999</v>
      </c>
      <c r="G47" s="12">
        <v>495.19</v>
      </c>
    </row>
    <row r="48" spans="1:7" x14ac:dyDescent="0.3">
      <c r="A48" s="5"/>
      <c r="B48" s="4"/>
      <c r="C48" s="4"/>
      <c r="F48" s="1"/>
      <c r="G48" s="1"/>
    </row>
    <row r="49" spans="1:7" x14ac:dyDescent="0.3">
      <c r="A49" s="2"/>
      <c r="B49" s="4"/>
      <c r="C49" s="4"/>
      <c r="F49" s="20"/>
      <c r="G49" s="20"/>
    </row>
    <row r="50" spans="1:7" x14ac:dyDescent="0.3">
      <c r="A50" s="3"/>
      <c r="B50" s="4"/>
      <c r="C50" s="4"/>
    </row>
    <row r="51" spans="1:7" x14ac:dyDescent="0.3">
      <c r="A51" s="3"/>
      <c r="B51" s="4"/>
      <c r="C51" s="4"/>
    </row>
    <row r="52" spans="1:7" x14ac:dyDescent="0.3">
      <c r="A52" s="3"/>
      <c r="B52" s="4"/>
      <c r="C52" s="4"/>
    </row>
    <row r="53" spans="1:7" x14ac:dyDescent="0.3">
      <c r="A53" s="3"/>
      <c r="B53" s="4"/>
      <c r="C53" s="4"/>
    </row>
  </sheetData>
  <mergeCells count="2">
    <mergeCell ref="A2:G2"/>
    <mergeCell ref="A1:G1"/>
  </mergeCells>
  <pageMargins left="0.75" right="0.75" top="1" bottom="1" header="0.5" footer="0.5"/>
  <pageSetup fitToHeight="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tint="0.59999389629810485"/>
    <pageSetUpPr fitToPage="1"/>
  </sheetPr>
  <dimension ref="A1:I10"/>
  <sheetViews>
    <sheetView showGridLines="0" zoomScale="90" workbookViewId="0">
      <selection activeCell="C8" sqref="C8"/>
    </sheetView>
  </sheetViews>
  <sheetFormatPr defaultRowHeight="14.4" x14ac:dyDescent="0.3"/>
  <cols>
    <col min="1" max="1" width="75" customWidth="1"/>
    <col min="2" max="8" width="16" customWidth="1"/>
  </cols>
  <sheetData>
    <row r="1" spans="1:9" ht="18" customHeight="1" x14ac:dyDescent="0.35">
      <c r="A1" s="22" t="s">
        <v>112</v>
      </c>
      <c r="B1" s="22"/>
    </row>
    <row r="2" spans="1:9" x14ac:dyDescent="0.3">
      <c r="A2" s="21" t="s">
        <v>113</v>
      </c>
      <c r="B2" s="21"/>
    </row>
    <row r="4" spans="1:9" ht="15" thickBot="1" x14ac:dyDescent="0.35">
      <c r="A4" s="9" t="s">
        <v>114</v>
      </c>
      <c r="B4" s="9"/>
      <c r="C4" s="9" t="s">
        <v>3</v>
      </c>
      <c r="D4" s="9" t="s">
        <v>4</v>
      </c>
      <c r="E4" s="9" t="s">
        <v>5</v>
      </c>
      <c r="F4" s="9" t="s">
        <v>6</v>
      </c>
      <c r="G4" s="9" t="s">
        <v>7</v>
      </c>
      <c r="H4" s="9" t="s">
        <v>8</v>
      </c>
    </row>
    <row r="5" spans="1:9" x14ac:dyDescent="0.3">
      <c r="A5" s="3" t="s">
        <v>115</v>
      </c>
      <c r="B5" s="3" t="s">
        <v>143</v>
      </c>
      <c r="C5" s="4" t="b">
        <f>'Balance Sheet'!B26='Balance Sheet'!B50</f>
        <v>1</v>
      </c>
      <c r="D5" s="4" t="b">
        <f>'Balance Sheet'!C26='Balance Sheet'!C50</f>
        <v>1</v>
      </c>
      <c r="E5" s="4" t="b">
        <f>'Balance Sheet'!D26='Balance Sheet'!D50</f>
        <v>1</v>
      </c>
      <c r="F5" s="4" t="b">
        <f>'Balance Sheet'!E26='Balance Sheet'!E50</f>
        <v>1</v>
      </c>
      <c r="G5" s="4" t="b">
        <f>'Balance Sheet'!F26='Balance Sheet'!F50</f>
        <v>1</v>
      </c>
      <c r="H5" s="4" t="b">
        <f>'Balance Sheet'!G26='Balance Sheet'!G50</f>
        <v>1</v>
      </c>
      <c r="I5" s="4"/>
    </row>
    <row r="6" spans="1:9" x14ac:dyDescent="0.3">
      <c r="A6" s="3" t="s">
        <v>116</v>
      </c>
      <c r="B6" s="3" t="s">
        <v>143</v>
      </c>
      <c r="C6" s="4">
        <f>'Income Statement'!B7-'Income Statement'!B16-'Income Statement'!B17</f>
        <v>0</v>
      </c>
      <c r="D6" s="4">
        <f>'Income Statement'!C7-'Income Statement'!C16-'Income Statement'!C17</f>
        <v>-9.9999999947613105E-3</v>
      </c>
      <c r="E6" s="4">
        <f>'Income Statement'!D7-'Income Statement'!D16-'Income Statement'!D17</f>
        <v>0</v>
      </c>
      <c r="F6" s="4">
        <f>'Income Statement'!E7-'Income Statement'!E16-'Income Statement'!E17</f>
        <v>9.9999999929423211E-3</v>
      </c>
      <c r="G6" s="4">
        <f>'Income Statement'!F7-'Income Statement'!F16-'Income Statement'!F17</f>
        <v>0</v>
      </c>
      <c r="H6" s="4">
        <f>'Income Statement'!G7-'Income Statement'!G16-'Income Statement'!G17</f>
        <v>0</v>
      </c>
    </row>
    <row r="7" spans="1:9" x14ac:dyDescent="0.3">
      <c r="A7" s="3" t="s">
        <v>117</v>
      </c>
      <c r="B7" s="3" t="s">
        <v>143</v>
      </c>
      <c r="C7" s="4">
        <f>'Income Statement'!B17-'Income Statement'!B18-'Income Statement'!B21</f>
        <v>0</v>
      </c>
      <c r="D7" s="4">
        <f>'Income Statement'!C17-'Income Statement'!C18-'Income Statement'!C21</f>
        <v>0</v>
      </c>
      <c r="E7" s="4">
        <f>'Income Statement'!D17-'Income Statement'!D18-'Income Statement'!D21</f>
        <v>0</v>
      </c>
      <c r="F7" s="4">
        <f>'Income Statement'!E17-'Income Statement'!E18-'Income Statement'!E21</f>
        <v>-1.0000000000218279E-2</v>
      </c>
      <c r="G7" s="4">
        <f>'Income Statement'!F17-'Income Statement'!F18-'Income Statement'!F21</f>
        <v>0</v>
      </c>
      <c r="H7" s="4">
        <f>'Income Statement'!G17-'Income Statement'!G18-'Income Statement'!G21</f>
        <v>0</v>
      </c>
    </row>
    <row r="8" spans="1:9" x14ac:dyDescent="0.3">
      <c r="A8" s="3" t="s">
        <v>118</v>
      </c>
      <c r="B8" s="3" t="s">
        <v>143</v>
      </c>
      <c r="C8" s="4">
        <f>'Cash Flow'!B30+'Cash Flow'!B37+'Cash Flow'!B43-'Cash Flow'!B44</f>
        <v>0</v>
      </c>
      <c r="D8" s="4">
        <f>'Cash Flow'!C30+'Cash Flow'!C37+'Cash Flow'!C43-'Cash Flow'!C44</f>
        <v>0</v>
      </c>
      <c r="E8" s="4">
        <f>'Cash Flow'!D30+'Cash Flow'!D37+'Cash Flow'!D43-'Cash Flow'!D44</f>
        <v>0</v>
      </c>
      <c r="F8" s="4">
        <f>'Cash Flow'!E30+'Cash Flow'!E37+'Cash Flow'!E43-'Cash Flow'!E44</f>
        <v>1.0000000001383569E-2</v>
      </c>
      <c r="G8" s="4">
        <f>'Cash Flow'!F30+'Cash Flow'!F37+'Cash Flow'!F43-'Cash Flow'!F44</f>
        <v>1.0000000000388809E-2</v>
      </c>
      <c r="H8" s="4">
        <f>'Cash Flow'!G30+'Cash Flow'!G37+'Cash Flow'!G43-'Cash Flow'!G44</f>
        <v>0</v>
      </c>
    </row>
    <row r="9" spans="1:9" x14ac:dyDescent="0.3">
      <c r="A9" s="3" t="s">
        <v>119</v>
      </c>
      <c r="B9" s="3" t="s">
        <v>143</v>
      </c>
      <c r="C9" s="4">
        <f>'Cash Flow'!B45+'Cash Flow'!B44-'Cash Flow'!B46</f>
        <v>0</v>
      </c>
      <c r="D9" s="4">
        <f>'Cash Flow'!C45+'Cash Flow'!C44-'Cash Flow'!C46</f>
        <v>3.0908609005564358E-13</v>
      </c>
      <c r="E9" s="4">
        <f>'Cash Flow'!D45+'Cash Flow'!D44-'Cash Flow'!D46</f>
        <v>0</v>
      </c>
      <c r="F9" s="4">
        <f>'Cash Flow'!E45+'Cash Flow'!E44-'Cash Flow'!E46</f>
        <v>0</v>
      </c>
      <c r="G9" s="4">
        <f>'Cash Flow'!F45+'Cash Flow'!F44-'Cash Flow'!F46</f>
        <v>0</v>
      </c>
      <c r="H9" s="4">
        <f>'Cash Flow'!G45+'Cash Flow'!G44-'Cash Flow'!G46</f>
        <v>0</v>
      </c>
    </row>
    <row r="10" spans="1:9" x14ac:dyDescent="0.3">
      <c r="C10" s="7"/>
      <c r="D10" s="7"/>
      <c r="E10" s="8"/>
      <c r="F10" s="1"/>
    </row>
  </sheetData>
  <conditionalFormatting sqref="E5 E7:E10">
    <cfRule type="cellIs" dxfId="3" priority="1" operator="equal">
      <formula>"OK"</formula>
    </cfRule>
    <cfRule type="cellIs" dxfId="2" priority="2" operator="equal">
      <formula>"CHECK"</formula>
    </cfRule>
    <cfRule type="cellIs" dxfId="1" priority="3" operator="equal">
      <formula>"OK"</formula>
    </cfRule>
    <cfRule type="cellIs" dxfId="0" priority="4" operator="equal">
      <formula>"CHECK"</formula>
    </cfRule>
  </conditionalFormatting>
  <pageMargins left="0.75" right="0.75" top="1" bottom="1" header="0.5" footer="0.5"/>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Notes</vt:lpstr>
      <vt:lpstr>One Page Profile</vt:lpstr>
      <vt:lpstr>OPP Data</vt:lpstr>
      <vt:lpstr>HistoricalFS</vt:lpstr>
      <vt:lpstr>Ratio Analysis</vt:lpstr>
      <vt:lpstr>Forecasting</vt:lpstr>
      <vt:lpstr>WACC</vt:lpstr>
      <vt:lpstr>Common Size Statement</vt:lpstr>
      <vt:lpstr>Rm</vt:lpstr>
      <vt:lpstr>Beta - Regression</vt:lpstr>
      <vt:lpstr>Beta - Comps</vt:lpstr>
      <vt:lpstr>Intrinsic Growth</vt:lpstr>
      <vt:lpstr>DCF (FCFF)</vt:lpstr>
      <vt:lpstr>Comps </vt:lpstr>
      <vt:lpstr>Comps Val Datasheet</vt:lpstr>
      <vt:lpstr>Income Statement</vt:lpstr>
      <vt:lpstr>Balance Sheet</vt:lpstr>
      <vt:lpstr>Cash Flow</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arnav kashyap</cp:lastModifiedBy>
  <cp:lastPrinted>2026-08-25T19:13:35Z</cp:lastPrinted>
  <dcterms:created xsi:type="dcterms:W3CDTF">2026-08-11T21:54:24Z</dcterms:created>
  <dcterms:modified xsi:type="dcterms:W3CDTF">2026-09-07T18:58:29Z</dcterms:modified>
</cp:coreProperties>
</file>